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Trang bìa" sheetId="1" state="visible" r:id="rId3"/>
    <sheet name="Tóm tắt" sheetId="2" state="visible" r:id="rId4"/>
    <sheet name="Đơn giá &amp; giả định" sheetId="3" state="visible" r:id="rId5"/>
    <sheet name="Hạng mục công việc" sheetId="4" state="visible" r:id="rId6"/>
    <sheet name="Hạ tầng 12 tháng" sheetId="5" state="visible" r:id="rId7"/>
    <sheet name="Chi phí một lần" sheetId="6" state="visible" r:id="rId8"/>
    <sheet name="Lộ trình" sheetId="7" state="visible" r:id="rId9"/>
    <sheet name="Tổng hợp chi phí"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<sst xmlns="http://schemas.openxmlformats.org/spreadsheetml/2006/main" count="386" uniqueCount="256">
  <si>
    <t xml:space="preserve">KHÁI TOÁN SƠ BỘ THỜI GIAN &amp; CHI PHÍ</t>
  </si>
  <si>
    <t xml:space="preserve">Dự án Hệ sinh thái Mạng xã hội Taxi Web3 (SP1 Mạng xã hội Web3 · SP2 App linh kiện · SP3 AI Agent)</t>
  </si>
  <si>
    <t xml:space="preserve">Kính gửi</t>
  </si>
  <si>
    <t xml:space="preserve">Anh John Davis</t>
  </si>
  <si>
    <t xml:space="preserve">Người lập</t>
  </si>
  <si>
    <t xml:space="preserve">Lê Chí Tuyền – phân tích nghiệp vụ &amp; điều phối dự án</t>
  </si>
  <si>
    <t xml:space="preserve">Ngày lập</t>
  </si>
  <si>
    <t xml:space="preserve">30/10/2026</t>
  </si>
  <si>
    <t xml:space="preserve">Phạm vi</t>
  </si>
  <si>
    <t xml:space="preserve">3 giai đoạn phần mềm, hạ tầng &amp; dịch vụ bên thứ ba 12 tháng, chi phí một lần</t>
  </si>
  <si>
    <t xml:space="preserve">Mốc người dùng</t>
  </si>
  <si>
    <t xml:space="preserve">3 tháng: 10.000 · 6 tháng: 100.000 · 12 tháng: 1.000.000</t>
  </si>
  <si>
    <t xml:space="preserve">Lưu ý</t>
  </si>
  <si>
    <t xml:space="preserve">Đây là khái toán sơ bộ để anh tham khảo, lập trên cơ sở trao đổi ngày 27/10/2026 và bộ mockup anh cung cấp. Báo giá chính thức sẽ gửi sau khi hai bên thống nhất phạm vi MVP, mô hình token và phương án hạ tầng.</t>
  </si>
  <si>
    <t xml:space="preserve">Phạm vi triển khai đề xuất chia thành 3 giai đoạn:
- Giai đoạn 1 (tháng 0–3): MVP mạng xã hội Web3 – tài khoản, bảng tin, nhóm, sự kiện, ví VI, nhiệm vụ, Rewards Store, AI “Mai”, quản trị, app iOS/Android.
- Giai đoạn 2 (tháng 3–6): đặt xe đa dịch vụ + app tài xế, SP2 app linh kiện, SP3 AI Agent mở rộng, khóa học, mentor.
- Giai đoạn 3 (tháng 6–12): NFT, quản trị bằng token, marketplace, nền tảng đối tác, đa ngôn ngữ, đánh giá chuỗi riêng.
- Hạ tầng: cloud, CDN, AI, SMS, bản đồ, blockchain tính theo mức sử dụng của từng mốc người dùng.</t>
  </si>
  <si>
    <t xml:space="preserve">TÓM TẮT KHÁI TOÁN DỰ ÁN TAXI SOCIAL WEB3</t>
  </si>
  <si>
    <t xml:space="preserve">Hệ sinh thái Mạng xã hội Taxi Web3 – Khái toán sơ bộ 3 giai đoạn</t>
  </si>
  <si>
    <t xml:space="preserve">Khối lượng phát triển (MD)</t>
  </si>
  <si>
    <t xml:space="preserve">Quản lý dự án, QA &amp; bảo hành (MD)</t>
  </si>
  <si>
    <t xml:space="preserve">Tổng khối lượng (MD)</t>
  </si>
  <si>
    <t xml:space="preserve">Thời gian GĐ1 / GĐ2 / GĐ3 (tuần)</t>
  </si>
  <si>
    <t xml:space="preserve">Phần mềm sau VAT (VND)</t>
  </si>
  <si>
    <t xml:space="preserve">Tổng sau VAT gồm hạ tầng (VND)</t>
  </si>
  <si>
    <t xml:space="preserve">Phạm vi triển khai</t>
  </si>
  <si>
    <t xml:space="preserve">Giai đoạn 1</t>
  </si>
  <si>
    <t xml:space="preserve">0–3 tháng · 10.000 người dùng: MVP mạng xã hội Web3 – tài khoản, bảng tin, nhóm, sự kiện, ví VI, nhiệm vụ, Rewards Store, AI “Mai”, quản trị, app iOS/Android.</t>
  </si>
  <si>
    <t xml:space="preserve">Giai đoạn 2</t>
  </si>
  <si>
    <t xml:space="preserve">3–6 tháng · 100.000 người dùng: đặt xe đa dịch vụ + app tài xế, SP2 app linh kiện, SP3 AI Agent mở rộng, khóa học, mentor.</t>
  </si>
  <si>
    <t xml:space="preserve">Giai đoạn 3</t>
  </si>
  <si>
    <t xml:space="preserve">6–12 tháng · 1.000.000 người dùng: NFT, quản trị bằng token, marketplace, nền tảng đối tác, đa ngôn ngữ, đánh giá chuỗi riêng.</t>
  </si>
  <si>
    <t xml:space="preserve">Hạ tầng</t>
  </si>
  <si>
    <t xml:space="preserve">Cloud, CDN, AI, SMS, bản đồ, blockchain Layer 2 theo mức sử dụng 12 tháng; kiểm toán smart contract là chi phí một lần.</t>
  </si>
  <si>
    <t xml:space="preserve">Cơ cấu chi phí</t>
  </si>
  <si>
    <t xml:space="preserve">Hạng mục</t>
  </si>
  <si>
    <t xml:space="preserve">Khối lượng (MD)</t>
  </si>
  <si>
    <t xml:space="preserve">Đơn giá</t>
  </si>
  <si>
    <t xml:space="preserve">Thành tiền</t>
  </si>
  <si>
    <t xml:space="preserve">Ghi chú</t>
  </si>
  <si>
    <t xml:space="preserve">Tổng phần mềm sau VAT</t>
  </si>
  <si>
    <t xml:space="preserve">Tổng trước VAT gồm hạ tầng</t>
  </si>
  <si>
    <t xml:space="preserve">Tổng sau VAT gồm hạ tầng</t>
  </si>
  <si>
    <t xml:space="preserve">Phân bổ chi phí theo giai đoạn</t>
  </si>
  <si>
    <t xml:space="preserve">Giai đoạn</t>
  </si>
  <si>
    <t xml:space="preserve">Phát triển</t>
  </si>
  <si>
    <t xml:space="preserve">Quản lý dự án</t>
  </si>
  <si>
    <t xml:space="preserve">Một lần</t>
  </si>
  <si>
    <t xml:space="preserve">Trước VAT</t>
  </si>
  <si>
    <t xml:space="preserve">Sau VAT</t>
  </si>
  <si>
    <t xml:space="preserve">Khái toán sơ bộ để anh tham khảo. Báo giá chính thức sẽ gửi sau khi hai bên thống nhất phạm vi MVP, mô hình token và phương án hạ tầng.</t>
  </si>
  <si>
    <t xml:space="preserve">ĐƠN GIÁ &amp; GIẢ ĐỊNH</t>
  </si>
  <si>
    <t xml:space="preserve">Thông số</t>
  </si>
  <si>
    <t xml:space="preserve">Giá trị</t>
  </si>
  <si>
    <t xml:space="preserve">Đơn vị</t>
  </si>
  <si>
    <t xml:space="preserve">Đơn giá phát triển</t>
  </si>
  <si>
    <t xml:space="preserve">VND/MD</t>
  </si>
  <si>
    <t xml:space="preserve">Bình quân phân tích, thiết kế, lập trình, kiểm thử</t>
  </si>
  <si>
    <t xml:space="preserve">Đơn giá bảo hành / hỗ trợ</t>
  </si>
  <si>
    <t xml:space="preserve">Bảo hành, hỗ trợ, bảo trì sau go-live</t>
  </si>
  <si>
    <t xml:space="preserve">Đơn giá quản lý dự án</t>
  </si>
  <si>
    <t xml:space="preserve">Quản lý dự án, kiểm soát chất lượng &amp; rủi ro</t>
  </si>
  <si>
    <t xml:space="preserve">Tỷ lệ quản lý dự án, QA &amp; rủi ro</t>
  </si>
  <si>
    <t xml:space="preserve">%</t>
  </si>
  <si>
    <t xml:space="preserve">Tính trên khối lượng phát triển 3 giai đoạn</t>
  </si>
  <si>
    <t xml:space="preserve">Năng lực đội dự án</t>
  </si>
  <si>
    <t xml:space="preserve">MD/tuần</t>
  </si>
  <si>
    <t xml:space="preserve">Khoảng 8–9 người để kịp mốc 3 tháng</t>
  </si>
  <si>
    <t xml:space="preserve">VAT</t>
  </si>
  <si>
    <t xml:space="preserve">Số tháng mốc 1 (10.000 người dùng)</t>
  </si>
  <si>
    <t xml:space="preserve">tháng</t>
  </si>
  <si>
    <t xml:space="preserve">Hạ tầng tháng 1–3</t>
  </si>
  <si>
    <t xml:space="preserve">Số tháng mốc 2 (100.000 người dùng)</t>
  </si>
  <si>
    <t xml:space="preserve">Hạ tầng tháng 4–6</t>
  </si>
  <si>
    <t xml:space="preserve">Số tháng mốc 3 (1.000.000 người dùng)</t>
  </si>
  <si>
    <t xml:space="preserve">Hạ tầng tháng 7–12</t>
  </si>
  <si>
    <t xml:space="preserve">DANH SÁCH HẠNG MỤC &amp; KHỐI LƯỢNG CÔNG VIỆC</t>
  </si>
  <si>
    <t xml:space="preserve">GĐ1 (MD)</t>
  </si>
  <si>
    <t xml:space="preserve">GĐ2 (MD)</t>
  </si>
  <si>
    <t xml:space="preserve">GĐ3 (MD)</t>
  </si>
  <si>
    <t xml:space="preserve">Bảo hành (MD)</t>
  </si>
  <si>
    <t xml:space="preserve">QLDA, QA &amp; rủi ro (MD)</t>
  </si>
  <si>
    <t xml:space="preserve">Tổng (MD)</t>
  </si>
  <si>
    <t xml:space="preserve">MD (man-day) = 1 người làm việc 1 ngày. Khối lượng mỗi hạng mục đã gồm phân tích, thiết kế, lập trình và kiểm thử.</t>
  </si>
  <si>
    <t xml:space="preserve">STT</t>
  </si>
  <si>
    <t xml:space="preserve">Nhóm chức năng</t>
  </si>
  <si>
    <t xml:space="preserve">I. Công việc chung</t>
  </si>
  <si>
    <t xml:space="preserve">1</t>
  </si>
  <si>
    <t xml:space="preserve">Khảo sát, phân tích nghiệp vụ 3 sản phẩm, lập URD/SRS</t>
  </si>
  <si>
    <t xml:space="preserve">-</t>
  </si>
  <si>
    <t xml:space="preserve">GĐ1</t>
  </si>
  <si>
    <t xml:space="preserve">Gồm workshop chốt MVP và mô hình token</t>
  </si>
  <si>
    <t xml:space="preserve">2</t>
  </si>
  <si>
    <t xml:space="preserve">Thiết kế UI/UX: web, app hành khách, app tài xế, admin (dựa trên mockup KH)</t>
  </si>
  <si>
    <t xml:space="preserve">Design system, prototype</t>
  </si>
  <si>
    <t xml:space="preserve">3</t>
  </si>
  <si>
    <t xml:space="preserve">Thiết kế kiến trúc mở rộng tới 1 triệu người dùng, mô hình dữ liệu</t>
  </si>
  <si>
    <t xml:space="preserve">4</t>
  </si>
  <si>
    <t xml:space="preserve">Thiết kế mô hình token, smart contract, phương án ví (phối hợp pháp lý)</t>
  </si>
  <si>
    <t xml:space="preserve">Tư vấn pháp lý do anh chủ động</t>
  </si>
  <si>
    <t xml:space="preserve">5</t>
  </si>
  <si>
    <t xml:space="preserve">Cấu hình môi trường, CI/CD, Docker/Kubernetes, giám sát, backup</t>
  </si>
  <si>
    <t xml:space="preserve">6</t>
  </si>
  <si>
    <t xml:space="preserve">Kiểm thử tải mốc 10.000 người dùng</t>
  </si>
  <si>
    <t xml:space="preserve">7</t>
  </si>
  <si>
    <t xml:space="preserve">UAT, phát hành App Store/Google Play, go-live GĐ1</t>
  </si>
  <si>
    <t xml:space="preserve">8</t>
  </si>
  <si>
    <t xml:space="preserve">Tài liệu dự án, hướng dẫn sử dụng, vận hành</t>
  </si>
  <si>
    <t xml:space="preserve">9</t>
  </si>
  <si>
    <t xml:space="preserve">Kiểm thử tải mốc 100.000 người dùng, UAT &amp; go-live GĐ2</t>
  </si>
  <si>
    <t xml:space="preserve">GĐ2</t>
  </si>
  <si>
    <t xml:space="preserve">10</t>
  </si>
  <si>
    <t xml:space="preserve">Kiểm thử tải mốc 1.000.000 người dùng, UAT &amp; go-live GĐ3</t>
  </si>
  <si>
    <t xml:space="preserve">GĐ3</t>
  </si>
  <si>
    <t xml:space="preserve">11</t>
  </si>
  <si>
    <t xml:space="preserve">Bảo hành, hỗ trợ, bảo trì 12 tháng</t>
  </si>
  <si>
    <t xml:space="preserve">Bảo hành</t>
  </si>
  <si>
    <t xml:space="preserve">Không tính vào tiến độ go-live</t>
  </si>
  <si>
    <t xml:space="preserve">II. Chức năng nghiệp vụ</t>
  </si>
  <si>
    <t xml:space="preserve">I. Tài khoản &amp; hồ sơ người dùng</t>
  </si>
  <si>
    <t xml:space="preserve">Đăng ký/đăng nhập SĐT (OTP), Facebook, Google</t>
  </si>
  <si>
    <t xml:space="preserve">Vai trò Tài xế/Hành khách/Đối tác, xác minh tài khoản (tick xanh)</t>
  </si>
  <si>
    <t xml:space="preserve">Hồ sơ: followers, điểm, huy hiệu, bài viết, thành tích; Ride Passport cơ bản</t>
  </si>
  <si>
    <t xml:space="preserve">Mời bạn (referral), link mời từ nhóm Facebook</t>
  </si>
  <si>
    <t xml:space="preserve">II. Mạng xã hội (SP1)</t>
  </si>
  <si>
    <t xml:space="preserve">Bảng tin For you / Following / Nearby / Discover, xếp hạng cơ bản</t>
  </si>
  <si>
    <t xml:space="preserve">Đăng bài ảnh/video, nén &amp; xử lý media, phân phối qua CDN</t>
  </si>
  <si>
    <t xml:space="preserve">Thích, bình luận, chia sẻ, theo dõi</t>
  </si>
  <si>
    <t xml:space="preserve">Nhóm cộng đồng: tạo, tham gia, gợi ý, gần tôi, thịnh hành</t>
  </si>
  <si>
    <t xml:space="preserve">Chủ đề thịnh hành, tìm kiếm bài viết/người dùng/nhóm/địa điểm</t>
  </si>
  <si>
    <t xml:space="preserve">Thông báo push &amp; trong ứng dụng</t>
  </si>
  <si>
    <t xml:space="preserve">Nhắn tin 1-1 realtime</t>
  </si>
  <si>
    <t xml:space="preserve">Báo cáo vi phạm, kiểm duyệt nội dung (AI lọc tự động + duyệt tay)</t>
  </si>
  <si>
    <t xml:space="preserve">Sự kiện: sắp diễn ra, online, gần tôi, đăng ký tham gia</t>
  </si>
  <si>
    <t xml:space="preserve">III. Ví VI &amp; phần thưởng (Web3)</t>
  </si>
  <si>
    <t xml:space="preserve">Smart contract token ERC-20 trên Ethereum Layer 2, kiểm thử</t>
  </si>
  <si>
    <t xml:space="preserve">Ví tạo tự động, quản lý khóa an toàn (KMS)</t>
  </si>
  <si>
    <t xml:space="preserve">Liên kết ví ngoài (MetaMask, WalletConnect)</t>
  </si>
  <si>
    <t xml:space="preserve">Sổ điểm off-chain, quyết toán định kỳ lên chuỗi</t>
  </si>
  <si>
    <t xml:space="preserve">Nạp, gửi, nhận, lịch sử giao dịch</t>
  </si>
  <si>
    <t xml:space="preserve">Engine nhiệm vụ &amp; quy tắc kiếm điểm, chống gian lận săn thưởng</t>
  </si>
  <si>
    <t xml:space="preserve">Rewards Store: đổi ưu đãi nhiên liệu, mua sắm, du lịch</t>
  </si>
  <si>
    <t xml:space="preserve">Bảng xếp hạng, huy hiệu, thử thách theo mùa</t>
  </si>
  <si>
    <t xml:space="preserve">IV. AI trợ lý “Mai” – bản đầu (SP3)</t>
  </si>
  <si>
    <t xml:space="preserve">Chatbot hỏi đáp 24/7 (LLM + tri thức nền tảng)</t>
  </si>
  <si>
    <t xml:space="preserve">Dịch tự động bài đăng, tin nhắn Việt – Anh – Trung</t>
  </si>
  <si>
    <t xml:space="preserve">Tra cứu ví/thưởng, tiếp nhận khiếu nại qua chat</t>
  </si>
  <si>
    <t xml:space="preserve">V. Quản trị (Admin) &amp; ứng dụng di động</t>
  </si>
  <si>
    <t xml:space="preserve">Quản lý người dùng, bài viết, nhóm, sự kiện</t>
  </si>
  <si>
    <t xml:space="preserve">Cấu hình nhiệm vụ, mức thưởng, quà đổi</t>
  </si>
  <si>
    <t xml:space="preserve">Dashboard: người dùng mới, hoạt động, tương tác, token phát hành</t>
  </si>
  <si>
    <t xml:space="preserve">Đóng gói app iOS/Android cho toàn bộ màn hình GĐ1</t>
  </si>
  <si>
    <t xml:space="preserve">VI. Đặt xe đa dịch vụ (SP1)</t>
  </si>
  <si>
    <t xml:space="preserve">Bản đồ, chọn dịch vụ Taxi/Car/Bike/Delivery/Shuttle, điểm đón/đến, yêu thích</t>
  </si>
  <si>
    <t xml:space="preserve">Tính giá cước, báo giá nhiều loại xe</t>
  </si>
  <si>
    <t xml:space="preserve">Ghép cuốc tài xế (dispatch) theo vị trí, trạng thái</t>
  </si>
  <si>
    <t xml:space="preserve">Theo dõi chuyến realtime, chia sẻ hành trình</t>
  </si>
  <si>
    <t xml:space="preserve">App tài xế: nhận cuốc, điều hướng, thu nhập</t>
  </si>
  <si>
    <t xml:space="preserve">Thanh toán: tiền mặt, thẻ, ví điện tử; ưu đãi bằng VI</t>
  </si>
  <si>
    <t xml:space="preserve">Đi chung, đặt xe trước</t>
  </si>
  <si>
    <t xml:space="preserve">Đánh giá chuyến, khiếu nại</t>
  </si>
  <si>
    <t xml:space="preserve">Admin: quản lý chuyến, tài xế, đối soát</t>
  </si>
  <si>
    <t xml:space="preserve">VII. App linh kiện &amp; thiết bị thay thế (SP2)</t>
  </si>
  <si>
    <t xml:space="preserve">Danh mục linh kiện theo loại xe (taxi, bus…), dòng xe, mã phụ tùng</t>
  </si>
  <si>
    <t xml:space="preserve">Gian hàng nhà cung cấp, garage đối tác</t>
  </si>
  <si>
    <t xml:space="preserve">Giỏ hàng, đặt hàng, quản lý đơn</t>
  </si>
  <si>
    <t xml:space="preserve">Đánh giá, nhắc lịch bảo dưỡng</t>
  </si>
  <si>
    <t xml:space="preserve">Ưu đãi, tích điểm bằng VI</t>
  </si>
  <si>
    <t xml:space="preserve">Đóng gói app SP2 riêng (nếu tách khỏi super app)</t>
  </si>
  <si>
    <t xml:space="preserve">VIII. AI Agent mở rộng (SP3)</t>
  </si>
  <si>
    <t xml:space="preserve">Bộ điều phối nhiều agent, gọi công cụ của các dịch vụ</t>
  </si>
  <si>
    <t xml:space="preserve">Agent đặt xe bằng hội thoại, tìm tuyến</t>
  </si>
  <si>
    <t xml:space="preserve">Agent chăm sóc khách hàng 24/7, chuyển nhân viên thật</t>
  </si>
  <si>
    <t xml:space="preserve">Agent tư vấn linh kiện</t>
  </si>
  <si>
    <t xml:space="preserve">Agent hướng dẫn tài xế mới</t>
  </si>
  <si>
    <t xml:space="preserve">Trò chuyện bằng giọng nói</t>
  </si>
  <si>
    <t xml:space="preserve">IX. Driver Mentor, khóa học, việc làm, tin tức</t>
  </si>
  <si>
    <t xml:space="preserve">Khóa học: video, tiến độ, chứng nhận</t>
  </si>
  <si>
    <t xml:space="preserve">Ghép cặp mentor – tài xế mới</t>
  </si>
  <si>
    <t xml:space="preserve">Việc làm (Jobs), tin tức (News), tài nguyên</t>
  </si>
  <si>
    <t xml:space="preserve">X. Hệ sinh thái Web3 &amp; cộng đồng toàn cầu</t>
  </si>
  <si>
    <t xml:space="preserve">Smart contract NFT, phát hành huy hiệu/tài sản văn hóa</t>
  </si>
  <si>
    <t xml:space="preserve">Quản trị cộng đồng bằng VI (đề xuất, bình chọn)</t>
  </si>
  <si>
    <t xml:space="preserve">Marketplace thủ công mỹ nghệ, du lịch, trải nghiệm</t>
  </si>
  <si>
    <t xml:space="preserve">Business &amp; Partner Platform</t>
  </si>
  <si>
    <t xml:space="preserve">Đa ngôn ngữ Nhật, Hàn; Taxi World Community</t>
  </si>
  <si>
    <t xml:space="preserve">Đánh giá &amp; PoC chuỗi riêng (Layer 1 / app-chain)</t>
  </si>
  <si>
    <t xml:space="preserve">KHÁI TOÁN HẠ TẦNG &amp; DỊCH VỤ BÊN THỨ BA (12 THÁNG)</t>
  </si>
  <si>
    <t xml:space="preserve">Mốc 1 · 10.000 người dùng
(VND/tháng)</t>
  </si>
  <si>
    <t xml:space="preserve">Mốc 2 · 100.000 người dùng
(VND/tháng)</t>
  </si>
  <si>
    <t xml:space="preserve">Mốc 3 · 1 triệu người dùng
(VND/tháng)</t>
  </si>
  <si>
    <t xml:space="preserve">Thành tiền 12 tháng</t>
  </si>
  <si>
    <t xml:space="preserve">Máy chủ ứng dụng (Kubernetes, tự mở rộng)</t>
  </si>
  <si>
    <t xml:space="preserve">Theo số người dùng hoạt động</t>
  </si>
  <si>
    <t xml:space="preserve">CSDL PostgreSQL + Redis (managed)</t>
  </si>
  <si>
    <t xml:space="preserve">Có bản sao dự phòng</t>
  </si>
  <si>
    <t xml:space="preserve">Lưu trữ ảnh/video + CDN</t>
  </si>
  <si>
    <t xml:space="preserve">Phụ thuộc lượng video</t>
  </si>
  <si>
    <t xml:space="preserve">Tìm kiếm, hàng đợi sự kiện, log &amp; giám sát</t>
  </si>
  <si>
    <t xml:space="preserve">Blockchain: RPC node + phí gas Layer 2</t>
  </si>
  <si>
    <t xml:space="preserve">Quyết toán theo lô giúp giảm phí</t>
  </si>
  <si>
    <t xml:space="preserve">AI/LLM API (chatbot, dịch, kiểm duyệt)</t>
  </si>
  <si>
    <t xml:space="preserve">Phụ thuộc số lượt hỏi</t>
  </si>
  <si>
    <t xml:space="preserve">SMS OTP, bản đồ, push notification</t>
  </si>
  <si>
    <t xml:space="preserve">Bản đồ tăng mạnh khi có đặt xe</t>
  </si>
  <si>
    <t xml:space="preserve">TỔNG / THÁNG &amp; 12 THÁNG</t>
  </si>
  <si>
    <t xml:space="preserve">Thanh toán theo mức sử dụng thực tế</t>
  </si>
  <si>
    <t xml:space="preserve">Phân bổ theo giai đoạn</t>
  </si>
  <si>
    <t xml:space="preserve">Chi phí hạ tầng trả trực tiếp cho nhà cung cấp cloud/dịch vụ, phụ thuộc số người dùng hoạt động và lượng ảnh/video, lượt dùng AI, bản đồ thực tế. Bên tư vấn sẽ tối ưu cấu hình trong quá trình vận hành.</t>
  </si>
  <si>
    <t xml:space="preserve">CHI PHÍ MỘT LẦN (TÍNH VÀO GIAI ĐOẠN 1)</t>
  </si>
  <si>
    <t xml:space="preserve">SL</t>
  </si>
  <si>
    <t xml:space="preserve">Kiểm toán bảo mật smart contract (đơn vị độc lập)</t>
  </si>
  <si>
    <t xml:space="preserve">Bắt buộc trước khi phát hành token; tùy chọn nhà cung cấp</t>
  </si>
  <si>
    <t xml:space="preserve">Tài khoản nhà phát triển Apple/Google, chứng thư SSL</t>
  </si>
  <si>
    <t xml:space="preserve">Theo năm</t>
  </si>
  <si>
    <t xml:space="preserve">TỔNG CHI PHÍ MỘT LẦN</t>
  </si>
  <si>
    <t xml:space="preserve">Chưa gồm: tư vấn pháp lý về token, chi phí niêm yết token (nếu có), marketing thu hút người dùng, nhân sự kiểm duyệt nội dung.</t>
  </si>
  <si>
    <t xml:space="preserve">LỘ TRÌNH TRIỂN KHAI DỰ KIẾN</t>
  </si>
  <si>
    <t xml:space="preserve">Mục tiêu</t>
  </si>
  <si>
    <t xml:space="preserve">Năng lực đội
(MD/tuần)</t>
  </si>
  <si>
    <t xml:space="preserve">Tuần làm việc</t>
  </si>
  <si>
    <t xml:space="preserve">Dự phòng
(tuần)</t>
  </si>
  <si>
    <t xml:space="preserve">Kế hoạch
(tuần)</t>
  </si>
  <si>
    <t xml:space="preserve">Giai đoạn 1 - MVP mạng xã hội Web3</t>
  </si>
  <si>
    <t xml:space="preserve">Tài khoản, bảng tin, nhóm, sự kiện, ví VI, nhiệm vụ, Rewards Store, AI “Mai”, quản trị, app di động</t>
  </si>
  <si>
    <t xml:space="preserve">Giai đoạn 2 - Dịch vụ, SP2, SP3</t>
  </si>
  <si>
    <t xml:space="preserve">Đặt xe + app tài xế, app linh kiện, AI Agent mở rộng, khóa học, mentor</t>
  </si>
  <si>
    <t xml:space="preserve">Giai đoạn 3 - Hệ sinh thái Web3</t>
  </si>
  <si>
    <t xml:space="preserve">NFT, quản trị bằng token, marketplace, nền tảng đối tác, đa ngôn ngữ</t>
  </si>
  <si>
    <t xml:space="preserve">TỔNG THỜI GIAN TRIỂN KHAI (tuần)</t>
  </si>
  <si>
    <t xml:space="preserve">- Giai đoạn 1 hoàn thành trong khoảng 3 tháng, kịp mốc 10.000 người dùng.
- Giai đoạn 2 hoàn thành trước mốc 6 tháng (100.000 người dùng).
- Giai đoạn 3 hoàn thành sớm; thời gian còn lại đến tháng 12 dành cho vận hành, tối ưu và tăng trưởng lên 1 triệu người dùng.
- Bảo hành, hỗ trợ 12 tháng tính từ khi go-live giai đoạn 1.</t>
  </si>
  <si>
    <t xml:space="preserve">TỔNG HỢP KHÁI TOÁN CHI PHÍ</t>
  </si>
  <si>
    <t xml:space="preserve">Đơn giá (VND/MD)</t>
  </si>
  <si>
    <t xml:space="preserve">Thành tiền (VND)</t>
  </si>
  <si>
    <t xml:space="preserve">Phát triển phần mềm Giai đoạn 1</t>
  </si>
  <si>
    <t xml:space="preserve">MVP mạng xã hội Web3</t>
  </si>
  <si>
    <t xml:space="preserve">Phát triển phần mềm Giai đoạn 2</t>
  </si>
  <si>
    <t xml:space="preserve">Đặt xe, SP2, SP3</t>
  </si>
  <si>
    <t xml:space="preserve">Phát triển phần mềm Giai đoạn 3</t>
  </si>
  <si>
    <t xml:space="preserve">Hệ sinh thái Web3</t>
  </si>
  <si>
    <t xml:space="preserve">Bảo hành, hỗ trợ 12 tháng</t>
  </si>
  <si>
    <t xml:space="preserve">Từ khi go-live giai đoạn 1</t>
  </si>
  <si>
    <t xml:space="preserve">Theo tỷ lệ trên khối lượng phát triển</t>
  </si>
  <si>
    <t xml:space="preserve">Hạ tầng &amp; dịch vụ bên thứ ba (12 tháng)</t>
  </si>
  <si>
    <t xml:space="preserve">Theo mức sử dụng thực tế</t>
  </si>
  <si>
    <t xml:space="preserve">Chi phí một lần (kiểm toán smart contract…)</t>
  </si>
  <si>
    <t xml:space="preserve">Tính vào giai đoạn 1</t>
  </si>
  <si>
    <t xml:space="preserve">TỔNG PHẦN MỀM TRƯỚC VAT</t>
  </si>
  <si>
    <t xml:space="preserve">TỔNG PHẦN MỀM SAU VAT</t>
  </si>
  <si>
    <t xml:space="preserve">TỔNG TRƯỚC VAT (gồm hạ tầng &amp; chi phí một lần)</t>
  </si>
  <si>
    <t xml:space="preserve">TỔNG SAU VAT (gồm hạ tầng &amp; chi phí một lần)</t>
  </si>
  <si>
    <t xml:space="preserve">Khái toán sơ bộ</t>
  </si>
  <si>
    <t xml:space="preserve">PHÂN BỔ CHI PHÍ THEO GIAI ĐOẠN</t>
  </si>
  <si>
    <t xml:space="preserve">Chi phí một lần</t>
  </si>
  <si>
    <t xml:space="preserve">Tổng trước VAT</t>
  </si>
  <si>
    <t xml:space="preserve">Tổng sau VAT</t>
  </si>
  <si>
    <t xml:space="preserve">TỔNG CỘNG</t>
  </si>
  <si>
    <t xml:space="preserve">Ghi chú:
- Chi phí quản lý dự án phân bổ theo tỷ trọng khối lượng phát triển của từng giai đoạn.
- Hạ tầng phân bổ theo số tháng của từng mốc người dùng (GĐ1: tháng 1–3, GĐ2: tháng 4–6, GĐ3: tháng 7–12).
- Chi phí một lần (kiểm toán smart contract, tài khoản nhà phát triển) tính vào giai đoạn 1.
- Chưa gồm tư vấn pháp lý về token, marketing, nhân sự kiểm duyệt nội dung.</t>
  </si>
</sst>
</file>

<file path=xl/styles.xml><?xml version="1.0" encoding="utf-8"?>
<styleSheet xmlns="http://schemas.openxmlformats.org/spreadsheetml/2006/main">
  <numFmts count="8">
    <numFmt numFmtId="164" formatCode="General"/>
    <numFmt numFmtId="165" formatCode="#,##0.0"/>
    <numFmt numFmtId="166" formatCode="@"/>
    <numFmt numFmtId="167" formatCode="#,##0_);[RED]\(#,##0\)"/>
    <numFmt numFmtId="168" formatCode="#,##0"/>
    <numFmt numFmtId="169" formatCode="0%"/>
    <numFmt numFmtId="170" formatCode="0"/>
    <numFmt numFmtId="171"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2"/>
      <color rgb="FF1F4E78"/>
      <name val="Cambria"/>
      <family val="0"/>
      <charset val="1"/>
    </font>
    <font>
      <b val="true"/>
      <sz val="10"/>
      <color rgb="FF000000"/>
      <name val="Cambria"/>
      <family val="0"/>
      <charset val="1"/>
    </font>
    <font>
      <sz val="10"/>
      <color rgb="FF000000"/>
      <name val="Cambria"/>
      <family val="0"/>
      <charset val="1"/>
    </font>
    <font>
      <sz val="10"/>
      <name val="Cambria"/>
      <family val="0"/>
      <charset val="1"/>
    </font>
    <font>
      <b val="true"/>
      <sz val="14"/>
      <color rgb="FF000000"/>
      <name val="Cambria"/>
      <family val="0"/>
      <charset val="1"/>
    </font>
    <font>
      <b val="true"/>
      <sz val="10"/>
      <color rgb="FFFFFFFF"/>
      <name val="Cambria"/>
      <family val="0"/>
      <charset val="1"/>
    </font>
    <font>
      <b val="true"/>
      <sz val="11"/>
      <color rgb="FFFFFFFF"/>
      <name val="Cambria"/>
      <family val="0"/>
      <charset val="1"/>
    </font>
    <font>
      <sz val="10"/>
      <color rgb="FF444444"/>
      <name val="Cambria"/>
      <family val="0"/>
      <charset val="1"/>
    </font>
    <font>
      <sz val="10"/>
      <color rgb="FF008000"/>
      <name val="Cambria"/>
      <family val="0"/>
      <charset val="1"/>
    </font>
    <font>
      <sz val="9"/>
      <color rgb="FF666666"/>
      <name val="Cambria"/>
      <family val="0"/>
      <charset val="1"/>
    </font>
    <font>
      <sz val="10"/>
      <color rgb="FF666666"/>
      <name val="Cambria"/>
      <family val="0"/>
      <charset val="1"/>
    </font>
    <font>
      <sz val="10"/>
      <color rgb="FFC55A11"/>
      <name val="Cambria"/>
      <family val="0"/>
      <charset val="1"/>
    </font>
  </fonts>
  <fills count="11">
    <fill>
      <patternFill patternType="none"/>
    </fill>
    <fill>
      <patternFill patternType="gray125"/>
    </fill>
    <fill>
      <patternFill patternType="solid">
        <fgColor rgb="FF1F4E78"/>
        <bgColor rgb="FF003366"/>
      </patternFill>
    </fill>
    <fill>
      <patternFill patternType="solid">
        <fgColor rgb="FFA9D08E"/>
        <bgColor rgb="FFBFBFBF"/>
      </patternFill>
    </fill>
    <fill>
      <patternFill patternType="solid">
        <fgColor rgb="FFE7E6E6"/>
        <bgColor rgb="FFDDEBF7"/>
      </patternFill>
    </fill>
    <fill>
      <patternFill patternType="solid">
        <fgColor rgb="FFF2F2F2"/>
        <bgColor rgb="FFE7E6E6"/>
      </patternFill>
    </fill>
    <fill>
      <patternFill patternType="solid">
        <fgColor rgb="FFDDEBF7"/>
        <bgColor rgb="FFE7E6E6"/>
      </patternFill>
    </fill>
    <fill>
      <patternFill patternType="solid">
        <fgColor rgb="FFFFF2CC"/>
        <bgColor rgb="FFFCE4D6"/>
      </patternFill>
    </fill>
    <fill>
      <patternFill patternType="solid">
        <fgColor rgb="FFFCE4D6"/>
        <bgColor rgb="FFFFF2CC"/>
      </patternFill>
    </fill>
    <fill>
      <patternFill patternType="solid">
        <fgColor rgb="FFE2F0D9"/>
        <bgColor rgb="FFE7E6E6"/>
      </patternFill>
    </fill>
    <fill>
      <patternFill patternType="solid">
        <fgColor rgb="FF8EA9DB"/>
        <bgColor rgb="FFBFBFBF"/>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6" fontId="9" fillId="7" borderId="1" xfId="0" applyFont="true" applyBorder="true" applyAlignment="true" applyProtection="false">
      <alignment horizontal="center" vertical="center" textRotation="0" wrapText="true" indent="0" shrinkToFit="false"/>
      <protection locked="true" hidden="false"/>
    </xf>
    <xf numFmtId="167" fontId="9" fillId="7"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5" fontId="7" fillId="6" borderId="1" xfId="0" applyFont="true" applyBorder="true" applyAlignment="true" applyProtection="false">
      <alignment horizontal="right" vertical="center" textRotation="0" wrapText="true" indent="0" shrinkToFit="false"/>
      <protection locked="true" hidden="false"/>
    </xf>
    <xf numFmtId="167" fontId="7" fillId="6" borderId="1" xfId="0" applyFont="true" applyBorder="true" applyAlignment="true" applyProtection="false">
      <alignment horizontal="right" vertical="center" textRotation="0" wrapText="true" indent="0" shrinkToFit="false"/>
      <protection locked="true" hidden="false"/>
    </xf>
    <xf numFmtId="167" fontId="7" fillId="7" borderId="1" xfId="0" applyFont="true" applyBorder="true" applyAlignment="true" applyProtection="false">
      <alignment horizontal="right"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6" fillId="8" borderId="2" xfId="0" applyFont="true" applyBorder="true" applyAlignment="true" applyProtection="false">
      <alignment horizontal="left" vertical="center" textRotation="0" wrapText="true" indent="0" shrinkToFit="false"/>
      <protection locked="true" hidden="false"/>
    </xf>
    <xf numFmtId="167" fontId="6" fillId="7" borderId="1" xfId="0" applyFont="true" applyBorder="true" applyAlignment="true" applyProtection="false">
      <alignment horizontal="right"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7" fontId="6" fillId="8" borderId="1" xfId="0" applyFont="true" applyBorder="true" applyAlignment="true" applyProtection="false">
      <alignment horizontal="right"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8" fontId="7" fillId="7" borderId="1" xfId="0" applyFont="true" applyBorder="true" applyAlignment="true" applyProtection="false">
      <alignment horizontal="right"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9" fontId="7" fillId="7" borderId="1" xfId="0" applyFont="true" applyBorder="true" applyAlignment="true" applyProtection="false">
      <alignment horizontal="right" vertical="center" textRotation="0" wrapText="true" indent="0" shrinkToFit="false"/>
      <protection locked="true" hidden="false"/>
    </xf>
    <xf numFmtId="170" fontId="7" fillId="7" borderId="1" xfId="0" applyFont="true" applyBorder="true" applyAlignment="true" applyProtection="false">
      <alignment horizontal="right"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5" fontId="7" fillId="7" borderId="1" xfId="0" applyFont="true" applyBorder="true" applyAlignment="true" applyProtection="false">
      <alignment horizontal="right"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7" fontId="6" fillId="6" borderId="1" xfId="0" applyFont="true" applyBorder="true" applyAlignment="true" applyProtection="false">
      <alignment horizontal="righ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70" fontId="7" fillId="7" borderId="1" xfId="0" applyFont="true" applyBorder="true" applyAlignment="true" applyProtection="false">
      <alignment horizontal="center" vertical="center" textRotation="0" wrapText="true" indent="0" shrinkToFit="false"/>
      <protection locked="true" hidden="false"/>
    </xf>
    <xf numFmtId="171" fontId="7" fillId="6" borderId="1" xfId="0" applyFont="true" applyBorder="true" applyAlignment="true" applyProtection="false">
      <alignment horizontal="center" vertical="center" textRotation="0" wrapText="true" indent="0" shrinkToFit="false"/>
      <protection locked="true" hidden="false"/>
    </xf>
    <xf numFmtId="171" fontId="6" fillId="7" borderId="1" xfId="0" applyFont="true" applyBorder="true" applyAlignment="true" applyProtection="false">
      <alignment horizontal="center" vertical="center" textRotation="0" wrapText="tru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DDEB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2F2"/>
      <rgbColor rgb="FFE2F0D9"/>
      <rgbColor rgb="FFFFFF99"/>
      <rgbColor rgb="FFA9D08E"/>
      <rgbColor rgb="FFFF99CC"/>
      <rgbColor rgb="FFCC99FF"/>
      <rgbColor rgb="FFFCE4D6"/>
      <rgbColor rgb="FF3366FF"/>
      <rgbColor rgb="FF33CCCC"/>
      <rgbColor rgb="FF99CC00"/>
      <rgbColor rgb="FFFFCC00"/>
      <rgbColor rgb="FFFF9900"/>
      <rgbColor rgb="FFC55A11"/>
      <rgbColor rgb="FF666666"/>
      <rgbColor rgb="FF70AD47"/>
      <rgbColor rgb="FF003366"/>
      <rgbColor rgb="FF339966"/>
      <rgbColor rgb="FF003300"/>
      <rgbColor rgb="FF333300"/>
      <rgbColor rgb="FF993300"/>
      <rgbColor rgb="FF993366"/>
      <rgbColor rgb="FF1F4E78"/>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3:G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22"/>
    <col collapsed="false" customWidth="true" hidden="false" outlineLevel="0" max="4" min="4" style="0" width="70"/>
    <col collapsed="false" customWidth="true" hidden="false" outlineLevel="0" max="7" min="5" style="0" width="10"/>
  </cols>
  <sheetData>
    <row r="3" customFormat="false" ht="30" hidden="false" customHeight="true" outlineLevel="0" collapsed="false">
      <c r="B3" s="1" t="s">
        <v>0</v>
      </c>
      <c r="C3" s="1"/>
      <c r="D3" s="1"/>
      <c r="E3" s="1"/>
      <c r="F3" s="1"/>
      <c r="G3" s="1"/>
    </row>
    <row r="5" customFormat="false" ht="27.75" hidden="false" customHeight="true" outlineLevel="0" collapsed="false">
      <c r="B5" s="2" t="s">
        <v>1</v>
      </c>
      <c r="C5" s="2"/>
      <c r="D5" s="2"/>
      <c r="E5" s="2"/>
      <c r="F5" s="2"/>
      <c r="G5" s="2"/>
    </row>
    <row r="8" customFormat="false" ht="30" hidden="false" customHeight="true" outlineLevel="0" collapsed="false">
      <c r="C8" s="3" t="s">
        <v>2</v>
      </c>
      <c r="D8" s="4" t="s">
        <v>3</v>
      </c>
      <c r="E8" s="4"/>
      <c r="F8" s="4"/>
      <c r="G8" s="4"/>
    </row>
    <row r="9" customFormat="false" ht="30" hidden="false" customHeight="true" outlineLevel="0" collapsed="false">
      <c r="C9" s="3" t="s">
        <v>4</v>
      </c>
      <c r="D9" s="4" t="s">
        <v>5</v>
      </c>
      <c r="E9" s="4"/>
      <c r="F9" s="4"/>
      <c r="G9" s="4"/>
    </row>
    <row r="10" customFormat="false" ht="30" hidden="false" customHeight="true" outlineLevel="0" collapsed="false">
      <c r="C10" s="3" t="s">
        <v>6</v>
      </c>
      <c r="D10" s="4" t="s">
        <v>7</v>
      </c>
      <c r="E10" s="4"/>
      <c r="F10" s="4"/>
      <c r="G10" s="4"/>
    </row>
    <row r="11" customFormat="false" ht="30" hidden="false" customHeight="true" outlineLevel="0" collapsed="false">
      <c r="C11" s="3" t="s">
        <v>8</v>
      </c>
      <c r="D11" s="4" t="s">
        <v>9</v>
      </c>
      <c r="E11" s="4"/>
      <c r="F11" s="4"/>
      <c r="G11" s="4"/>
    </row>
    <row r="12" customFormat="false" ht="30" hidden="false" customHeight="true" outlineLevel="0" collapsed="false">
      <c r="C12" s="3" t="s">
        <v>10</v>
      </c>
      <c r="D12" s="4" t="s">
        <v>11</v>
      </c>
      <c r="E12" s="4"/>
      <c r="F12" s="4"/>
      <c r="G12" s="4"/>
    </row>
    <row r="13" customFormat="false" ht="48" hidden="false" customHeight="true" outlineLevel="0" collapsed="false">
      <c r="C13" s="3" t="s">
        <v>12</v>
      </c>
      <c r="D13" s="4" t="s">
        <v>13</v>
      </c>
      <c r="E13" s="4"/>
      <c r="F13" s="4"/>
      <c r="G13" s="4"/>
    </row>
    <row r="16" customFormat="false" ht="21.75" hidden="false" customHeight="true" outlineLevel="0" collapsed="false">
      <c r="B16" s="5" t="s">
        <v>14</v>
      </c>
      <c r="C16" s="5"/>
      <c r="D16" s="5"/>
      <c r="E16" s="5"/>
      <c r="F16" s="5"/>
      <c r="G16" s="5"/>
    </row>
    <row r="17" customFormat="false" ht="21.75" hidden="false" customHeight="true" outlineLevel="0" collapsed="false">
      <c r="B17" s="5"/>
      <c r="C17" s="5"/>
      <c r="D17" s="5"/>
      <c r="E17" s="5"/>
      <c r="F17" s="5"/>
      <c r="G17" s="5"/>
    </row>
    <row r="18" customFormat="false" ht="21.75" hidden="false" customHeight="true" outlineLevel="0" collapsed="false">
      <c r="B18" s="5"/>
      <c r="C18" s="5"/>
      <c r="D18" s="5"/>
      <c r="E18" s="5"/>
      <c r="F18" s="5"/>
      <c r="G18" s="5"/>
    </row>
    <row r="19" customFormat="false" ht="21.75" hidden="false" customHeight="true" outlineLevel="0" collapsed="false">
      <c r="B19" s="5"/>
      <c r="C19" s="5"/>
      <c r="D19" s="5"/>
      <c r="E19" s="5"/>
      <c r="F19" s="5"/>
      <c r="G19" s="5"/>
    </row>
    <row r="20" customFormat="false" ht="21.75" hidden="false" customHeight="true" outlineLevel="0" collapsed="false">
      <c r="B20" s="5"/>
      <c r="C20" s="5"/>
      <c r="D20" s="5"/>
      <c r="E20" s="5"/>
      <c r="F20" s="5"/>
      <c r="G20" s="5"/>
    </row>
  </sheetData>
  <mergeCells count="9">
    <mergeCell ref="B3:G3"/>
    <mergeCell ref="B5:G5"/>
    <mergeCell ref="D8:G8"/>
    <mergeCell ref="D9:G9"/>
    <mergeCell ref="D10:G10"/>
    <mergeCell ref="D11:G11"/>
    <mergeCell ref="D12:G12"/>
    <mergeCell ref="D13:G13"/>
    <mergeCell ref="B16:G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2: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24"/>
    <col collapsed="false" customWidth="true" hidden="false" outlineLevel="0" max="5" min="5" style="0" width="18"/>
    <col collapsed="false" customWidth="true" hidden="false" outlineLevel="0" max="6" min="6" style="0" width="26"/>
    <col collapsed="false" customWidth="true" hidden="false" outlineLevel="0" max="8" min="7" style="0" width="18"/>
  </cols>
  <sheetData>
    <row r="2" customFormat="false" ht="30" hidden="false" customHeight="true" outlineLevel="0" collapsed="false">
      <c r="B2" s="1" t="s">
        <v>15</v>
      </c>
      <c r="C2" s="1"/>
      <c r="D2" s="1"/>
      <c r="E2" s="1"/>
      <c r="F2" s="1"/>
      <c r="G2" s="1"/>
      <c r="H2" s="1"/>
    </row>
    <row r="4" customFormat="false" ht="15" hidden="false" customHeight="false" outlineLevel="0" collapsed="false">
      <c r="B4" s="6" t="s">
        <v>16</v>
      </c>
      <c r="C4" s="6"/>
      <c r="D4" s="6"/>
      <c r="E4" s="6"/>
      <c r="F4" s="6"/>
      <c r="G4" s="6"/>
      <c r="H4" s="6"/>
    </row>
    <row r="6" customFormat="false" ht="15" hidden="false" customHeight="true" outlineLevel="0" collapsed="false">
      <c r="B6" s="7" t="s">
        <v>17</v>
      </c>
      <c r="C6" s="7"/>
      <c r="D6" s="7" t="s">
        <v>18</v>
      </c>
      <c r="E6" s="7"/>
      <c r="F6" s="7" t="s">
        <v>19</v>
      </c>
      <c r="G6" s="7"/>
    </row>
    <row r="7" customFormat="false" ht="27.75" hidden="false" customHeight="true" outlineLevel="0" collapsed="false">
      <c r="B7" s="8" t="n">
        <f aca="false">'Hạng mục công việc'!A4+'Hạng mục công việc'!B4+'Hạng mục công việc'!C4</f>
        <v>761</v>
      </c>
      <c r="C7" s="8"/>
      <c r="D7" s="8" t="n">
        <f aca="false">'Hạng mục công việc'!D4+'Hạng mục công việc'!E4</f>
        <v>305.35</v>
      </c>
      <c r="E7" s="8"/>
      <c r="F7" s="8" t="n">
        <f aca="false">'Hạng mục công việc'!F4</f>
        <v>1066.35</v>
      </c>
      <c r="G7" s="8"/>
    </row>
    <row r="9" customFormat="false" ht="15" hidden="false" customHeight="true" outlineLevel="0" collapsed="false">
      <c r="B9" s="7" t="s">
        <v>20</v>
      </c>
      <c r="C9" s="7"/>
      <c r="D9" s="7" t="s">
        <v>21</v>
      </c>
      <c r="E9" s="7"/>
      <c r="F9" s="7" t="s">
        <v>22</v>
      </c>
      <c r="G9" s="7"/>
    </row>
    <row r="10" customFormat="false" ht="27.75" hidden="false" customHeight="true" outlineLevel="0" collapsed="false">
      <c r="B10" s="9" t="str">
        <f aca="false">'Lộ trình'!H4&amp;" / "&amp;'Lộ trình'!H5&amp;" / "&amp;'Lộ trình'!H6</f>
        <v>12 / 9 / 5</v>
      </c>
      <c r="C10" s="9"/>
      <c r="D10" s="10" t="n">
        <f aca="false">'Tổng hợp chi phí'!D13</f>
        <v>3121123500</v>
      </c>
      <c r="E10" s="10"/>
      <c r="F10" s="10" t="n">
        <f aca="false">'Tổng hợp chi phí'!D16</f>
        <v>5985523500</v>
      </c>
      <c r="G10" s="10"/>
    </row>
    <row r="13" customFormat="false" ht="15" hidden="false" customHeight="true" outlineLevel="0" collapsed="false">
      <c r="B13" s="11" t="s">
        <v>23</v>
      </c>
      <c r="C13" s="11"/>
      <c r="D13" s="11"/>
      <c r="E13" s="11"/>
      <c r="F13" s="11"/>
      <c r="G13" s="11"/>
      <c r="H13" s="11"/>
    </row>
    <row r="14" customFormat="false" ht="31.5" hidden="false" customHeight="true" outlineLevel="0" collapsed="false">
      <c r="B14" s="3" t="s">
        <v>24</v>
      </c>
      <c r="C14" s="4" t="s">
        <v>25</v>
      </c>
      <c r="D14" s="4"/>
      <c r="E14" s="4"/>
      <c r="F14" s="4"/>
      <c r="G14" s="4"/>
      <c r="H14" s="4"/>
    </row>
    <row r="15" customFormat="false" ht="31.5" hidden="false" customHeight="true" outlineLevel="0" collapsed="false">
      <c r="B15" s="3" t="s">
        <v>26</v>
      </c>
      <c r="C15" s="4" t="s">
        <v>27</v>
      </c>
      <c r="D15" s="4"/>
      <c r="E15" s="4"/>
      <c r="F15" s="4"/>
      <c r="G15" s="4"/>
      <c r="H15" s="4"/>
    </row>
    <row r="16" customFormat="false" ht="31.5" hidden="false" customHeight="true" outlineLevel="0" collapsed="false">
      <c r="B16" s="3" t="s">
        <v>28</v>
      </c>
      <c r="C16" s="4" t="s">
        <v>29</v>
      </c>
      <c r="D16" s="4"/>
      <c r="E16" s="4"/>
      <c r="F16" s="4"/>
      <c r="G16" s="4"/>
      <c r="H16" s="4"/>
    </row>
    <row r="17" customFormat="false" ht="31.5" hidden="false" customHeight="true" outlineLevel="0" collapsed="false">
      <c r="B17" s="3" t="s">
        <v>30</v>
      </c>
      <c r="C17" s="4" t="s">
        <v>31</v>
      </c>
      <c r="D17" s="4"/>
      <c r="E17" s="4"/>
      <c r="F17" s="4"/>
      <c r="G17" s="4"/>
      <c r="H17" s="4"/>
    </row>
    <row r="19" customFormat="false" ht="15" hidden="false" customHeight="true" outlineLevel="0" collapsed="false">
      <c r="B19" s="11" t="s">
        <v>32</v>
      </c>
      <c r="C19" s="11"/>
      <c r="D19" s="11"/>
      <c r="E19" s="11"/>
      <c r="F19" s="11"/>
      <c r="G19" s="11"/>
      <c r="H19" s="11"/>
    </row>
    <row r="20" customFormat="false" ht="31.5" hidden="false" customHeight="true" outlineLevel="0" collapsed="false">
      <c r="B20" s="12" t="s">
        <v>33</v>
      </c>
      <c r="C20" s="12" t="s">
        <v>34</v>
      </c>
      <c r="D20" s="12" t="s">
        <v>35</v>
      </c>
      <c r="E20" s="12" t="s">
        <v>36</v>
      </c>
      <c r="F20" s="12" t="s">
        <v>37</v>
      </c>
      <c r="G20" s="12"/>
      <c r="H20" s="12"/>
    </row>
    <row r="21" customFormat="false" ht="15" hidden="false" customHeight="false" outlineLevel="0" collapsed="false">
      <c r="B21" s="13" t="str">
        <f aca="false">'Tổng hợp chi phí'!A4</f>
        <v>Phát triển phần mềm Giai đoạn 1</v>
      </c>
      <c r="C21" s="14" t="n">
        <f aca="false">'Tổng hợp chi phí'!B4</f>
        <v>384</v>
      </c>
      <c r="D21" s="15" t="n">
        <f aca="false">'Tổng hợp chi phí'!C4</f>
        <v>2500000</v>
      </c>
      <c r="E21" s="16" t="n">
        <f aca="false">'Tổng hợp chi phí'!D4</f>
        <v>960000000</v>
      </c>
      <c r="F21" s="17" t="str">
        <f aca="false">'Tổng hợp chi phí'!E4</f>
        <v>MVP mạng xã hội Web3</v>
      </c>
      <c r="G21" s="17"/>
      <c r="H21" s="17"/>
    </row>
    <row r="22" customFormat="false" ht="15" hidden="false" customHeight="false" outlineLevel="0" collapsed="false">
      <c r="B22" s="13" t="str">
        <f aca="false">'Tổng hợp chi phí'!A5</f>
        <v>Phát triển phần mềm Giai đoạn 2</v>
      </c>
      <c r="C22" s="14" t="n">
        <f aca="false">'Tổng hợp chi phí'!B5</f>
        <v>270.5</v>
      </c>
      <c r="D22" s="15" t="n">
        <f aca="false">'Tổng hợp chi phí'!C5</f>
        <v>2500000</v>
      </c>
      <c r="E22" s="16" t="n">
        <f aca="false">'Tổng hợp chi phí'!D5</f>
        <v>676250000</v>
      </c>
      <c r="F22" s="17" t="str">
        <f aca="false">'Tổng hợp chi phí'!E5</f>
        <v>Đặt xe, SP2, SP3</v>
      </c>
      <c r="G22" s="17"/>
      <c r="H22" s="17"/>
    </row>
    <row r="23" customFormat="false" ht="15" hidden="false" customHeight="false" outlineLevel="0" collapsed="false">
      <c r="B23" s="13" t="str">
        <f aca="false">'Tổng hợp chi phí'!A6</f>
        <v>Phát triển phần mềm Giai đoạn 3</v>
      </c>
      <c r="C23" s="14" t="n">
        <f aca="false">'Tổng hợp chi phí'!B6</f>
        <v>106.5</v>
      </c>
      <c r="D23" s="15" t="n">
        <f aca="false">'Tổng hợp chi phí'!C6</f>
        <v>2500000</v>
      </c>
      <c r="E23" s="16" t="n">
        <f aca="false">'Tổng hợp chi phí'!D6</f>
        <v>266250000</v>
      </c>
      <c r="F23" s="17" t="str">
        <f aca="false">'Tổng hợp chi phí'!E6</f>
        <v>Hệ sinh thái Web3</v>
      </c>
      <c r="G23" s="17"/>
      <c r="H23" s="17"/>
    </row>
    <row r="24" customFormat="false" ht="15" hidden="false" customHeight="false" outlineLevel="0" collapsed="false">
      <c r="B24" s="13" t="str">
        <f aca="false">'Tổng hợp chi phí'!A7</f>
        <v>Bảo hành, hỗ trợ 12 tháng</v>
      </c>
      <c r="C24" s="14" t="n">
        <f aca="false">'Tổng hợp chi phí'!B7</f>
        <v>39</v>
      </c>
      <c r="D24" s="15" t="n">
        <f aca="false">'Tổng hợp chi phí'!C7</f>
        <v>2800000</v>
      </c>
      <c r="E24" s="16" t="n">
        <f aca="false">'Tổng hợp chi phí'!D7</f>
        <v>109200000</v>
      </c>
      <c r="F24" s="17" t="str">
        <f aca="false">'Tổng hợp chi phí'!E7</f>
        <v>Từ khi go-live giai đoạn 1</v>
      </c>
      <c r="G24" s="17"/>
      <c r="H24" s="17"/>
    </row>
    <row r="25" customFormat="false" ht="23.85" hidden="false" customHeight="false" outlineLevel="0" collapsed="false">
      <c r="B25" s="13" t="str">
        <f aca="false">'Tổng hợp chi phí'!A8</f>
        <v>Quản lý dự án, kiểm soát chất lượng &amp; rủi ro</v>
      </c>
      <c r="C25" s="14" t="n">
        <f aca="false">'Tổng hợp chi phí'!B8</f>
        <v>266.35</v>
      </c>
      <c r="D25" s="15" t="n">
        <f aca="false">'Tổng hợp chi phí'!C8</f>
        <v>3100000</v>
      </c>
      <c r="E25" s="16" t="n">
        <f aca="false">'Tổng hợp chi phí'!D8</f>
        <v>825685000</v>
      </c>
      <c r="F25" s="17" t="str">
        <f aca="false">'Tổng hợp chi phí'!E8</f>
        <v>Theo tỷ lệ trên khối lượng phát triển</v>
      </c>
      <c r="G25" s="17"/>
      <c r="H25" s="17"/>
    </row>
    <row r="26" customFormat="false" ht="23.85" hidden="false" customHeight="false" outlineLevel="0" collapsed="false">
      <c r="B26" s="13" t="str">
        <f aca="false">'Tổng hợp chi phí'!A9</f>
        <v>Hạ tầng &amp; dịch vụ bên thứ ba (12 tháng)</v>
      </c>
      <c r="C26" s="14" t="str">
        <f aca="false">'Tổng hợp chi phí'!B9</f>
        <v>-</v>
      </c>
      <c r="D26" s="15" t="str">
        <f aca="false">'Tổng hợp chi phí'!C9</f>
        <v>-</v>
      </c>
      <c r="E26" s="16" t="n">
        <f aca="false">'Tổng hợp chi phí'!D9</f>
        <v>2349000000</v>
      </c>
      <c r="F26" s="17" t="str">
        <f aca="false">'Tổng hợp chi phí'!E9</f>
        <v>Theo mức sử dụng thực tế</v>
      </c>
      <c r="G26" s="17"/>
      <c r="H26" s="17"/>
    </row>
    <row r="27" customFormat="false" ht="23.85" hidden="false" customHeight="false" outlineLevel="0" collapsed="false">
      <c r="B27" s="13" t="str">
        <f aca="false">'Tổng hợp chi phí'!A10</f>
        <v>Chi phí một lần (kiểm toán smart contract…)</v>
      </c>
      <c r="C27" s="14" t="str">
        <f aca="false">'Tổng hợp chi phí'!B10</f>
        <v>-</v>
      </c>
      <c r="D27" s="15" t="str">
        <f aca="false">'Tổng hợp chi phí'!C10</f>
        <v>-</v>
      </c>
      <c r="E27" s="16" t="n">
        <f aca="false">'Tổng hợp chi phí'!D10</f>
        <v>255000000</v>
      </c>
      <c r="F27" s="17" t="str">
        <f aca="false">'Tổng hợp chi phí'!E10</f>
        <v>Tính vào giai đoạn 1</v>
      </c>
      <c r="G27" s="17"/>
      <c r="H27" s="17"/>
    </row>
    <row r="28" customFormat="false" ht="15" hidden="false" customHeight="true" outlineLevel="0" collapsed="false">
      <c r="B28" s="18" t="s">
        <v>38</v>
      </c>
      <c r="C28" s="18"/>
      <c r="D28" s="18"/>
      <c r="E28" s="19" t="n">
        <f aca="false">'Tổng hợp chi phí'!D13</f>
        <v>3121123500</v>
      </c>
    </row>
    <row r="29" customFormat="false" ht="15" hidden="false" customHeight="true" outlineLevel="0" collapsed="false">
      <c r="B29" s="18" t="s">
        <v>39</v>
      </c>
      <c r="C29" s="18"/>
      <c r="D29" s="18"/>
      <c r="E29" s="19" t="n">
        <f aca="false">'Tổng hợp chi phí'!D14</f>
        <v>5441385000</v>
      </c>
    </row>
    <row r="30" customFormat="false" ht="15" hidden="false" customHeight="true" outlineLevel="0" collapsed="false">
      <c r="B30" s="20" t="s">
        <v>40</v>
      </c>
      <c r="C30" s="20"/>
      <c r="D30" s="20"/>
      <c r="E30" s="19" t="n">
        <f aca="false">'Tổng hợp chi phí'!D16</f>
        <v>5985523500</v>
      </c>
    </row>
    <row r="32" customFormat="false" ht="15" hidden="false" customHeight="true" outlineLevel="0" collapsed="false">
      <c r="B32" s="11" t="s">
        <v>41</v>
      </c>
      <c r="C32" s="11"/>
      <c r="D32" s="11"/>
      <c r="E32" s="11"/>
      <c r="F32" s="11"/>
      <c r="G32" s="11"/>
      <c r="H32" s="11"/>
    </row>
    <row r="33" customFormat="false" ht="31.5" hidden="false" customHeight="true" outlineLevel="0" collapsed="false">
      <c r="B33" s="12" t="s">
        <v>42</v>
      </c>
      <c r="C33" s="12" t="s">
        <v>43</v>
      </c>
      <c r="D33" s="12" t="s">
        <v>44</v>
      </c>
      <c r="E33" s="12" t="s">
        <v>30</v>
      </c>
      <c r="F33" s="12" t="s">
        <v>45</v>
      </c>
      <c r="G33" s="12" t="s">
        <v>46</v>
      </c>
      <c r="H33" s="12" t="s">
        <v>47</v>
      </c>
    </row>
    <row r="34" customFormat="false" ht="15" hidden="false" customHeight="false" outlineLevel="0" collapsed="false">
      <c r="B34" s="3" t="str">
        <f aca="false">'Tổng hợp chi phí'!A20</f>
        <v>Giai đoạn 1</v>
      </c>
      <c r="C34" s="15" t="n">
        <f aca="false">'Tổng hợp chi phí'!B20</f>
        <v>960000000</v>
      </c>
      <c r="D34" s="15" t="n">
        <f aca="false">'Tổng hợp chi phí'!C20</f>
        <v>416640000</v>
      </c>
      <c r="E34" s="15" t="n">
        <f aca="false">'Tổng hợp chi phí'!D20</f>
        <v>90000000</v>
      </c>
      <c r="F34" s="15" t="n">
        <f aca="false">'Tổng hợp chi phí'!E20</f>
        <v>255000000</v>
      </c>
      <c r="G34" s="15" t="n">
        <f aca="false">'Tổng hợp chi phí'!G20</f>
        <v>1721640000</v>
      </c>
      <c r="H34" s="15" t="n">
        <f aca="false">'Tổng hợp chi phí'!I20</f>
        <v>1893804000</v>
      </c>
    </row>
    <row r="35" customFormat="false" ht="15" hidden="false" customHeight="false" outlineLevel="0" collapsed="false">
      <c r="B35" s="3" t="str">
        <f aca="false">'Tổng hợp chi phí'!A21</f>
        <v>Giai đoạn 2</v>
      </c>
      <c r="C35" s="15" t="n">
        <f aca="false">'Tổng hợp chi phí'!B21</f>
        <v>676250000</v>
      </c>
      <c r="D35" s="15" t="n">
        <f aca="false">'Tổng hợp chi phí'!C21</f>
        <v>293492500</v>
      </c>
      <c r="E35" s="15" t="n">
        <f aca="false">'Tổng hợp chi phí'!D21</f>
        <v>309000000</v>
      </c>
      <c r="F35" s="15" t="n">
        <f aca="false">'Tổng hợp chi phí'!E21</f>
        <v>0</v>
      </c>
      <c r="G35" s="15" t="n">
        <f aca="false">'Tổng hợp chi phí'!G21</f>
        <v>1278742500</v>
      </c>
      <c r="H35" s="15" t="n">
        <f aca="false">'Tổng hợp chi phí'!I21</f>
        <v>1406616750</v>
      </c>
    </row>
    <row r="36" customFormat="false" ht="15" hidden="false" customHeight="false" outlineLevel="0" collapsed="false">
      <c r="B36" s="3" t="str">
        <f aca="false">'Tổng hợp chi phí'!A22</f>
        <v>Giai đoạn 3</v>
      </c>
      <c r="C36" s="15" t="n">
        <f aca="false">'Tổng hợp chi phí'!B22</f>
        <v>266250000</v>
      </c>
      <c r="D36" s="15" t="n">
        <f aca="false">'Tổng hợp chi phí'!C22</f>
        <v>115552500</v>
      </c>
      <c r="E36" s="15" t="n">
        <f aca="false">'Tổng hợp chi phí'!D22</f>
        <v>1950000000</v>
      </c>
      <c r="F36" s="15" t="n">
        <f aca="false">'Tổng hợp chi phí'!E22</f>
        <v>0</v>
      </c>
      <c r="G36" s="15" t="n">
        <f aca="false">'Tổng hợp chi phí'!G22</f>
        <v>2331802500</v>
      </c>
      <c r="H36" s="15" t="n">
        <f aca="false">'Tổng hợp chi phí'!I22</f>
        <v>2564982750</v>
      </c>
    </row>
    <row r="37" customFormat="false" ht="15" hidden="false" customHeight="false" outlineLevel="0" collapsed="false">
      <c r="B37" s="3" t="str">
        <f aca="false">'Tổng hợp chi phí'!A23</f>
        <v>Bảo hành, hỗ trợ 12 tháng</v>
      </c>
      <c r="C37" s="15" t="n">
        <f aca="false">'Tổng hợp chi phí'!B23</f>
        <v>0</v>
      </c>
      <c r="D37" s="15" t="n">
        <f aca="false">'Tổng hợp chi phí'!C23</f>
        <v>0</v>
      </c>
      <c r="E37" s="15" t="n">
        <f aca="false">'Tổng hợp chi phí'!D23</f>
        <v>0</v>
      </c>
      <c r="F37" s="15" t="n">
        <f aca="false">'Tổng hợp chi phí'!E23</f>
        <v>0</v>
      </c>
      <c r="G37" s="15" t="n">
        <f aca="false">'Tổng hợp chi phí'!G23</f>
        <v>109200000</v>
      </c>
      <c r="H37" s="15" t="n">
        <f aca="false">'Tổng hợp chi phí'!I23</f>
        <v>120120000</v>
      </c>
    </row>
    <row r="38" customFormat="false" ht="15" hidden="false" customHeight="false" outlineLevel="0" collapsed="false">
      <c r="B38" s="21" t="str">
        <f aca="false">'Tổng hợp chi phí'!A24</f>
        <v>TỔNG CỘNG</v>
      </c>
      <c r="C38" s="22" t="n">
        <f aca="false">'Tổng hợp chi phí'!B24</f>
        <v>1902500000</v>
      </c>
      <c r="D38" s="22" t="n">
        <f aca="false">'Tổng hợp chi phí'!C24</f>
        <v>825685000</v>
      </c>
      <c r="E38" s="22" t="n">
        <f aca="false">'Tổng hợp chi phí'!D24</f>
        <v>2349000000</v>
      </c>
      <c r="F38" s="22" t="n">
        <f aca="false">'Tổng hợp chi phí'!E24</f>
        <v>255000000</v>
      </c>
      <c r="G38" s="22" t="n">
        <f aca="false">'Tổng hợp chi phí'!G24</f>
        <v>5441385000</v>
      </c>
      <c r="H38" s="22" t="n">
        <f aca="false">'Tổng hợp chi phí'!I24</f>
        <v>5985523500</v>
      </c>
    </row>
    <row r="40" customFormat="false" ht="15" hidden="false" customHeight="true" outlineLevel="0" collapsed="false">
      <c r="B40" s="23" t="s">
        <v>48</v>
      </c>
      <c r="C40" s="23"/>
      <c r="D40" s="23"/>
      <c r="E40" s="23"/>
      <c r="F40" s="23"/>
      <c r="G40" s="23"/>
      <c r="H40" s="23"/>
    </row>
    <row r="41" customFormat="false" ht="15" hidden="false" customHeight="false" outlineLevel="0" collapsed="false">
      <c r="B41" s="23"/>
      <c r="C41" s="23"/>
      <c r="D41" s="23"/>
      <c r="E41" s="23"/>
      <c r="F41" s="23"/>
      <c r="G41" s="23"/>
      <c r="H41" s="23"/>
    </row>
  </sheetData>
  <mergeCells count="33">
    <mergeCell ref="B2:H2"/>
    <mergeCell ref="B4:H4"/>
    <mergeCell ref="B6:C6"/>
    <mergeCell ref="D6:E6"/>
    <mergeCell ref="F6:G6"/>
    <mergeCell ref="B7:C7"/>
    <mergeCell ref="D7:E7"/>
    <mergeCell ref="F7:G7"/>
    <mergeCell ref="B9:C9"/>
    <mergeCell ref="D9:E9"/>
    <mergeCell ref="F9:G9"/>
    <mergeCell ref="B10:C10"/>
    <mergeCell ref="D10:E10"/>
    <mergeCell ref="F10:G10"/>
    <mergeCell ref="B13:H13"/>
    <mergeCell ref="C14:H14"/>
    <mergeCell ref="C15:H15"/>
    <mergeCell ref="C16:H16"/>
    <mergeCell ref="C17:H17"/>
    <mergeCell ref="B19:H19"/>
    <mergeCell ref="F20:H20"/>
    <mergeCell ref="F21:H21"/>
    <mergeCell ref="F22:H22"/>
    <mergeCell ref="F23:H23"/>
    <mergeCell ref="F24:H24"/>
    <mergeCell ref="F25:H25"/>
    <mergeCell ref="F26:H26"/>
    <mergeCell ref="F27:H27"/>
    <mergeCell ref="B28:D28"/>
    <mergeCell ref="B29:D29"/>
    <mergeCell ref="B30:D30"/>
    <mergeCell ref="B32:H32"/>
    <mergeCell ref="B40:H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2"/>
    <col collapsed="false" customWidth="true" hidden="false" outlineLevel="0" max="4" min="4" style="0" width="52"/>
  </cols>
  <sheetData>
    <row r="1" customFormat="false" ht="30" hidden="false" customHeight="true" outlineLevel="0" collapsed="false">
      <c r="A1" s="1" t="s">
        <v>49</v>
      </c>
      <c r="B1" s="1"/>
      <c r="C1" s="1"/>
      <c r="D1" s="1"/>
    </row>
    <row r="3" customFormat="false" ht="31.5" hidden="false" customHeight="true" outlineLevel="0" collapsed="false">
      <c r="A3" s="12" t="s">
        <v>50</v>
      </c>
      <c r="B3" s="12" t="s">
        <v>51</v>
      </c>
      <c r="C3" s="12" t="s">
        <v>52</v>
      </c>
      <c r="D3" s="12" t="s">
        <v>37</v>
      </c>
    </row>
    <row r="4" customFormat="false" ht="15" hidden="false" customHeight="false" outlineLevel="0" collapsed="false">
      <c r="A4" s="13" t="s">
        <v>53</v>
      </c>
      <c r="B4" s="24" t="n">
        <v>2500000</v>
      </c>
      <c r="C4" s="25" t="s">
        <v>54</v>
      </c>
      <c r="D4" s="26" t="s">
        <v>55</v>
      </c>
    </row>
    <row r="5" customFormat="false" ht="15" hidden="false" customHeight="false" outlineLevel="0" collapsed="false">
      <c r="A5" s="13" t="s">
        <v>56</v>
      </c>
      <c r="B5" s="24" t="n">
        <v>2800000</v>
      </c>
      <c r="C5" s="25" t="s">
        <v>54</v>
      </c>
      <c r="D5" s="26" t="s">
        <v>57</v>
      </c>
    </row>
    <row r="6" customFormat="false" ht="15" hidden="false" customHeight="false" outlineLevel="0" collapsed="false">
      <c r="A6" s="13" t="s">
        <v>58</v>
      </c>
      <c r="B6" s="24" t="n">
        <v>3100000</v>
      </c>
      <c r="C6" s="25" t="s">
        <v>54</v>
      </c>
      <c r="D6" s="26" t="s">
        <v>59</v>
      </c>
    </row>
    <row r="7" customFormat="false" ht="15" hidden="false" customHeight="false" outlineLevel="0" collapsed="false">
      <c r="A7" s="13" t="s">
        <v>60</v>
      </c>
      <c r="B7" s="27" t="n">
        <v>0.35</v>
      </c>
      <c r="C7" s="25" t="s">
        <v>61</v>
      </c>
      <c r="D7" s="26" t="s">
        <v>62</v>
      </c>
    </row>
    <row r="8" customFormat="false" ht="15" hidden="false" customHeight="false" outlineLevel="0" collapsed="false">
      <c r="A8" s="13" t="s">
        <v>63</v>
      </c>
      <c r="B8" s="28" t="n">
        <v>40</v>
      </c>
      <c r="C8" s="25" t="s">
        <v>64</v>
      </c>
      <c r="D8" s="26" t="s">
        <v>65</v>
      </c>
    </row>
    <row r="9" customFormat="false" ht="15" hidden="false" customHeight="false" outlineLevel="0" collapsed="false">
      <c r="A9" s="13" t="s">
        <v>66</v>
      </c>
      <c r="B9" s="27" t="n">
        <v>0.1</v>
      </c>
      <c r="C9" s="25" t="s">
        <v>61</v>
      </c>
      <c r="D9" s="26"/>
    </row>
    <row r="10" customFormat="false" ht="15" hidden="false" customHeight="false" outlineLevel="0" collapsed="false">
      <c r="A10" s="13" t="s">
        <v>67</v>
      </c>
      <c r="B10" s="28" t="n">
        <v>3</v>
      </c>
      <c r="C10" s="25" t="s">
        <v>68</v>
      </c>
      <c r="D10" s="26" t="s">
        <v>69</v>
      </c>
    </row>
    <row r="11" customFormat="false" ht="15" hidden="false" customHeight="false" outlineLevel="0" collapsed="false">
      <c r="A11" s="13" t="s">
        <v>70</v>
      </c>
      <c r="B11" s="28" t="n">
        <v>3</v>
      </c>
      <c r="C11" s="25" t="s">
        <v>68</v>
      </c>
      <c r="D11" s="26" t="s">
        <v>71</v>
      </c>
    </row>
    <row r="12" customFormat="false" ht="15" hidden="false" customHeight="false" outlineLevel="0" collapsed="false">
      <c r="A12" s="13" t="s">
        <v>72</v>
      </c>
      <c r="B12" s="28" t="n">
        <v>6</v>
      </c>
      <c r="C12" s="25" t="s">
        <v>68</v>
      </c>
      <c r="D12" s="26" t="s">
        <v>73</v>
      </c>
    </row>
  </sheetData>
  <mergeCells count="1">
    <mergeCell ref="A1:D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64"/>
    <col collapsed="false" customWidth="true" hidden="false" outlineLevel="0" max="4" min="4" style="0" width="14"/>
    <col collapsed="false" customWidth="true" hidden="false" outlineLevel="0" max="5" min="5" style="0" width="12"/>
    <col collapsed="false" customWidth="true" hidden="false" outlineLevel="0" max="6" min="6" style="0" width="30"/>
  </cols>
  <sheetData>
    <row r="1" customFormat="false" ht="30" hidden="false" customHeight="true" outlineLevel="0" collapsed="false">
      <c r="A1" s="1" t="s">
        <v>74</v>
      </c>
      <c r="B1" s="1"/>
      <c r="C1" s="1"/>
      <c r="D1" s="1"/>
      <c r="E1" s="1"/>
      <c r="F1" s="1"/>
    </row>
    <row r="3" customFormat="false" ht="31.5" hidden="false" customHeight="true" outlineLevel="0" collapsed="false">
      <c r="A3" s="12" t="s">
        <v>75</v>
      </c>
      <c r="B3" s="12" t="s">
        <v>76</v>
      </c>
      <c r="C3" s="12" t="s">
        <v>77</v>
      </c>
      <c r="D3" s="12" t="s">
        <v>78</v>
      </c>
      <c r="E3" s="12" t="s">
        <v>79</v>
      </c>
      <c r="F3" s="12" t="s">
        <v>80</v>
      </c>
    </row>
    <row r="4" customFormat="false" ht="15" hidden="false" customHeight="false" outlineLevel="0" collapsed="false">
      <c r="A4" s="29" t="n">
        <f aca="false">SUMIF($E$8:$E$78,"GĐ1",$D$8:$D$78)</f>
        <v>384</v>
      </c>
      <c r="B4" s="29" t="n">
        <f aca="false">SUMIF($E$8:$E$78,"GĐ2",$D$8:$D$78)</f>
        <v>270.5</v>
      </c>
      <c r="C4" s="29" t="n">
        <f aca="false">SUMIF($E$8:$E$78,"GĐ3",$D$8:$D$78)</f>
        <v>106.5</v>
      </c>
      <c r="D4" s="29" t="n">
        <f aca="false">SUMIF($E$8:$E$78,"Bảo hành",$D$8:$D$78)</f>
        <v>39</v>
      </c>
      <c r="E4" s="30" t="n">
        <f aca="false">(A4+B4+C4)*'Đơn giá &amp; giả định'!B7</f>
        <v>266.35</v>
      </c>
      <c r="F4" s="29" t="n">
        <f aca="false">SUM(A4:E4)</f>
        <v>1066.35</v>
      </c>
    </row>
    <row r="5" customFormat="false" ht="15" hidden="false" customHeight="true" outlineLevel="0" collapsed="false">
      <c r="A5" s="31" t="s">
        <v>81</v>
      </c>
      <c r="B5" s="31"/>
      <c r="C5" s="31"/>
      <c r="D5" s="31"/>
      <c r="E5" s="31"/>
      <c r="F5" s="31"/>
    </row>
    <row r="7" customFormat="false" ht="31.5" hidden="false" customHeight="true" outlineLevel="0" collapsed="false">
      <c r="A7" s="12" t="s">
        <v>82</v>
      </c>
      <c r="B7" s="12" t="s">
        <v>83</v>
      </c>
      <c r="C7" s="12" t="s">
        <v>33</v>
      </c>
      <c r="D7" s="12" t="s">
        <v>34</v>
      </c>
      <c r="E7" s="12" t="s">
        <v>42</v>
      </c>
      <c r="F7" s="12" t="s">
        <v>37</v>
      </c>
    </row>
    <row r="8" customFormat="false" ht="15" hidden="false" customHeight="true" outlineLevel="0" collapsed="false">
      <c r="A8" s="11" t="s">
        <v>84</v>
      </c>
      <c r="B8" s="11"/>
      <c r="C8" s="11"/>
      <c r="D8" s="11"/>
      <c r="E8" s="11"/>
      <c r="F8" s="11"/>
    </row>
    <row r="9" customFormat="false" ht="23.85" hidden="false" customHeight="false" outlineLevel="0" collapsed="false">
      <c r="A9" s="32" t="s">
        <v>85</v>
      </c>
      <c r="B9" s="26" t="s">
        <v>86</v>
      </c>
      <c r="C9" s="26" t="s">
        <v>87</v>
      </c>
      <c r="D9" s="33" t="n">
        <v>16</v>
      </c>
      <c r="E9" s="34" t="s">
        <v>88</v>
      </c>
      <c r="F9" s="13" t="s">
        <v>89</v>
      </c>
    </row>
    <row r="10" customFormat="false" ht="23.85" hidden="false" customHeight="false" outlineLevel="0" collapsed="false">
      <c r="A10" s="32" t="s">
        <v>90</v>
      </c>
      <c r="B10" s="26" t="s">
        <v>91</v>
      </c>
      <c r="C10" s="26" t="s">
        <v>87</v>
      </c>
      <c r="D10" s="33" t="n">
        <v>32.5</v>
      </c>
      <c r="E10" s="34" t="s">
        <v>88</v>
      </c>
      <c r="F10" s="13" t="s">
        <v>92</v>
      </c>
    </row>
    <row r="11" customFormat="false" ht="23.85" hidden="false" customHeight="false" outlineLevel="0" collapsed="false">
      <c r="A11" s="32" t="s">
        <v>93</v>
      </c>
      <c r="B11" s="26" t="s">
        <v>94</v>
      </c>
      <c r="C11" s="26" t="s">
        <v>87</v>
      </c>
      <c r="D11" s="33" t="n">
        <v>10.5</v>
      </c>
      <c r="E11" s="34" t="s">
        <v>88</v>
      </c>
      <c r="F11" s="13"/>
    </row>
    <row r="12" customFormat="false" ht="23.85" hidden="false" customHeight="false" outlineLevel="0" collapsed="false">
      <c r="A12" s="32" t="s">
        <v>95</v>
      </c>
      <c r="B12" s="26" t="s">
        <v>96</v>
      </c>
      <c r="C12" s="26" t="s">
        <v>87</v>
      </c>
      <c r="D12" s="33" t="n">
        <v>8</v>
      </c>
      <c r="E12" s="34" t="s">
        <v>88</v>
      </c>
      <c r="F12" s="13" t="s">
        <v>97</v>
      </c>
    </row>
    <row r="13" customFormat="false" ht="23.85" hidden="false" customHeight="false" outlineLevel="0" collapsed="false">
      <c r="A13" s="32" t="s">
        <v>98</v>
      </c>
      <c r="B13" s="26" t="s">
        <v>99</v>
      </c>
      <c r="C13" s="26" t="s">
        <v>87</v>
      </c>
      <c r="D13" s="33" t="n">
        <v>13</v>
      </c>
      <c r="E13" s="34" t="s">
        <v>88</v>
      </c>
      <c r="F13" s="13"/>
    </row>
    <row r="14" customFormat="false" ht="15" hidden="false" customHeight="false" outlineLevel="0" collapsed="false">
      <c r="A14" s="32" t="s">
        <v>100</v>
      </c>
      <c r="B14" s="26" t="s">
        <v>101</v>
      </c>
      <c r="C14" s="26" t="s">
        <v>87</v>
      </c>
      <c r="D14" s="33" t="n">
        <v>5.5</v>
      </c>
      <c r="E14" s="34" t="s">
        <v>88</v>
      </c>
      <c r="F14" s="13"/>
    </row>
    <row r="15" customFormat="false" ht="15" hidden="false" customHeight="false" outlineLevel="0" collapsed="false">
      <c r="A15" s="32" t="s">
        <v>102</v>
      </c>
      <c r="B15" s="26" t="s">
        <v>103</v>
      </c>
      <c r="C15" s="26" t="s">
        <v>87</v>
      </c>
      <c r="D15" s="33" t="n">
        <v>13</v>
      </c>
      <c r="E15" s="34" t="s">
        <v>88</v>
      </c>
      <c r="F15" s="13"/>
    </row>
    <row r="16" customFormat="false" ht="15" hidden="false" customHeight="false" outlineLevel="0" collapsed="false">
      <c r="A16" s="32" t="s">
        <v>104</v>
      </c>
      <c r="B16" s="26" t="s">
        <v>105</v>
      </c>
      <c r="C16" s="26" t="s">
        <v>87</v>
      </c>
      <c r="D16" s="33" t="n">
        <v>8</v>
      </c>
      <c r="E16" s="34" t="s">
        <v>88</v>
      </c>
      <c r="F16" s="13"/>
    </row>
    <row r="17" customFormat="false" ht="23.85" hidden="false" customHeight="false" outlineLevel="0" collapsed="false">
      <c r="A17" s="32" t="s">
        <v>106</v>
      </c>
      <c r="B17" s="26" t="s">
        <v>107</v>
      </c>
      <c r="C17" s="26" t="s">
        <v>87</v>
      </c>
      <c r="D17" s="33" t="n">
        <v>13</v>
      </c>
      <c r="E17" s="34" t="s">
        <v>108</v>
      </c>
      <c r="F17" s="13"/>
    </row>
    <row r="18" customFormat="false" ht="23.85" hidden="false" customHeight="false" outlineLevel="0" collapsed="false">
      <c r="A18" s="32" t="s">
        <v>109</v>
      </c>
      <c r="B18" s="26" t="s">
        <v>110</v>
      </c>
      <c r="C18" s="26" t="s">
        <v>87</v>
      </c>
      <c r="D18" s="33" t="n">
        <v>16</v>
      </c>
      <c r="E18" s="34" t="s">
        <v>111</v>
      </c>
      <c r="F18" s="13"/>
    </row>
    <row r="19" customFormat="false" ht="15" hidden="false" customHeight="false" outlineLevel="0" collapsed="false">
      <c r="A19" s="32" t="s">
        <v>112</v>
      </c>
      <c r="B19" s="26" t="s">
        <v>113</v>
      </c>
      <c r="C19" s="26" t="s">
        <v>87</v>
      </c>
      <c r="D19" s="33" t="n">
        <v>39</v>
      </c>
      <c r="E19" s="34" t="s">
        <v>114</v>
      </c>
      <c r="F19" s="13" t="s">
        <v>115</v>
      </c>
    </row>
    <row r="20" customFormat="false" ht="15" hidden="false" customHeight="true" outlineLevel="0" collapsed="false">
      <c r="A20" s="11" t="s">
        <v>116</v>
      </c>
      <c r="B20" s="11"/>
      <c r="C20" s="11"/>
      <c r="D20" s="11"/>
      <c r="E20" s="11"/>
      <c r="F20" s="11"/>
    </row>
    <row r="21" customFormat="false" ht="15" hidden="false" customHeight="true" outlineLevel="0" collapsed="false">
      <c r="A21" s="35" t="s">
        <v>85</v>
      </c>
      <c r="B21" s="3" t="s">
        <v>117</v>
      </c>
      <c r="C21" s="13" t="s">
        <v>118</v>
      </c>
      <c r="D21" s="33" t="n">
        <v>6.5</v>
      </c>
      <c r="E21" s="34" t="s">
        <v>88</v>
      </c>
      <c r="F21" s="13"/>
    </row>
    <row r="22" customFormat="false" ht="15" hidden="false" customHeight="false" outlineLevel="0" collapsed="false">
      <c r="A22" s="35"/>
      <c r="B22" s="35"/>
      <c r="C22" s="13" t="s">
        <v>119</v>
      </c>
      <c r="D22" s="33" t="n">
        <v>5.5</v>
      </c>
      <c r="E22" s="34" t="s">
        <v>88</v>
      </c>
      <c r="F22" s="13"/>
    </row>
    <row r="23" customFormat="false" ht="15" hidden="false" customHeight="false" outlineLevel="0" collapsed="false">
      <c r="A23" s="35"/>
      <c r="B23" s="35"/>
      <c r="C23" s="13" t="s">
        <v>120</v>
      </c>
      <c r="D23" s="33" t="n">
        <v>8</v>
      </c>
      <c r="E23" s="34" t="s">
        <v>88</v>
      </c>
      <c r="F23" s="13"/>
    </row>
    <row r="24" customFormat="false" ht="15" hidden="false" customHeight="false" outlineLevel="0" collapsed="false">
      <c r="A24" s="35"/>
      <c r="B24" s="35"/>
      <c r="C24" s="13" t="s">
        <v>121</v>
      </c>
      <c r="D24" s="33" t="n">
        <v>4</v>
      </c>
      <c r="E24" s="34" t="s">
        <v>88</v>
      </c>
      <c r="F24" s="13"/>
    </row>
    <row r="25" customFormat="false" ht="15" hidden="false" customHeight="true" outlineLevel="0" collapsed="false">
      <c r="A25" s="35" t="s">
        <v>90</v>
      </c>
      <c r="B25" s="3" t="s">
        <v>122</v>
      </c>
      <c r="C25" s="13" t="s">
        <v>123</v>
      </c>
      <c r="D25" s="33" t="n">
        <v>16</v>
      </c>
      <c r="E25" s="34" t="s">
        <v>88</v>
      </c>
      <c r="F25" s="13"/>
    </row>
    <row r="26" customFormat="false" ht="15" hidden="false" customHeight="false" outlineLevel="0" collapsed="false">
      <c r="A26" s="35"/>
      <c r="B26" s="35"/>
      <c r="C26" s="13" t="s">
        <v>124</v>
      </c>
      <c r="D26" s="33" t="n">
        <v>13</v>
      </c>
      <c r="E26" s="34" t="s">
        <v>88</v>
      </c>
      <c r="F26" s="13"/>
    </row>
    <row r="27" customFormat="false" ht="15" hidden="false" customHeight="false" outlineLevel="0" collapsed="false">
      <c r="A27" s="35"/>
      <c r="B27" s="35"/>
      <c r="C27" s="13" t="s">
        <v>125</v>
      </c>
      <c r="D27" s="33" t="n">
        <v>8</v>
      </c>
      <c r="E27" s="34" t="s">
        <v>88</v>
      </c>
      <c r="F27" s="13"/>
    </row>
    <row r="28" customFormat="false" ht="15" hidden="false" customHeight="false" outlineLevel="0" collapsed="false">
      <c r="A28" s="35"/>
      <c r="B28" s="35"/>
      <c r="C28" s="13" t="s">
        <v>126</v>
      </c>
      <c r="D28" s="33" t="n">
        <v>10.5</v>
      </c>
      <c r="E28" s="34" t="s">
        <v>88</v>
      </c>
      <c r="F28" s="13"/>
    </row>
    <row r="29" customFormat="false" ht="15" hidden="false" customHeight="false" outlineLevel="0" collapsed="false">
      <c r="A29" s="35"/>
      <c r="B29" s="35"/>
      <c r="C29" s="13" t="s">
        <v>127</v>
      </c>
      <c r="D29" s="33" t="n">
        <v>8</v>
      </c>
      <c r="E29" s="34" t="s">
        <v>88</v>
      </c>
      <c r="F29" s="13"/>
    </row>
    <row r="30" customFormat="false" ht="15" hidden="false" customHeight="false" outlineLevel="0" collapsed="false">
      <c r="A30" s="35"/>
      <c r="B30" s="35"/>
      <c r="C30" s="13" t="s">
        <v>128</v>
      </c>
      <c r="D30" s="33" t="n">
        <v>6.5</v>
      </c>
      <c r="E30" s="34" t="s">
        <v>88</v>
      </c>
      <c r="F30" s="13"/>
    </row>
    <row r="31" customFormat="false" ht="15" hidden="false" customHeight="false" outlineLevel="0" collapsed="false">
      <c r="A31" s="35"/>
      <c r="B31" s="35"/>
      <c r="C31" s="13" t="s">
        <v>129</v>
      </c>
      <c r="D31" s="33" t="n">
        <v>13</v>
      </c>
      <c r="E31" s="34" t="s">
        <v>88</v>
      </c>
      <c r="F31" s="13"/>
    </row>
    <row r="32" customFormat="false" ht="15" hidden="false" customHeight="false" outlineLevel="0" collapsed="false">
      <c r="A32" s="35"/>
      <c r="B32" s="35"/>
      <c r="C32" s="13" t="s">
        <v>130</v>
      </c>
      <c r="D32" s="33" t="n">
        <v>10.5</v>
      </c>
      <c r="E32" s="34" t="s">
        <v>88</v>
      </c>
      <c r="F32" s="13"/>
    </row>
    <row r="33" customFormat="false" ht="15" hidden="false" customHeight="false" outlineLevel="0" collapsed="false">
      <c r="A33" s="35"/>
      <c r="B33" s="35"/>
      <c r="C33" s="13" t="s">
        <v>131</v>
      </c>
      <c r="D33" s="33" t="n">
        <v>8</v>
      </c>
      <c r="E33" s="34" t="s">
        <v>88</v>
      </c>
      <c r="F33" s="13"/>
    </row>
    <row r="34" customFormat="false" ht="15" hidden="false" customHeight="true" outlineLevel="0" collapsed="false">
      <c r="A34" s="35" t="s">
        <v>93</v>
      </c>
      <c r="B34" s="3" t="s">
        <v>132</v>
      </c>
      <c r="C34" s="13" t="s">
        <v>133</v>
      </c>
      <c r="D34" s="33" t="n">
        <v>10.5</v>
      </c>
      <c r="E34" s="34" t="s">
        <v>88</v>
      </c>
      <c r="F34" s="13"/>
    </row>
    <row r="35" customFormat="false" ht="15" hidden="false" customHeight="false" outlineLevel="0" collapsed="false">
      <c r="A35" s="35"/>
      <c r="B35" s="35"/>
      <c r="C35" s="13" t="s">
        <v>134</v>
      </c>
      <c r="D35" s="33" t="n">
        <v>13</v>
      </c>
      <c r="E35" s="34" t="s">
        <v>88</v>
      </c>
      <c r="F35" s="13"/>
    </row>
    <row r="36" customFormat="false" ht="15" hidden="false" customHeight="false" outlineLevel="0" collapsed="false">
      <c r="A36" s="35"/>
      <c r="B36" s="35"/>
      <c r="C36" s="13" t="s">
        <v>135</v>
      </c>
      <c r="D36" s="33" t="n">
        <v>5.5</v>
      </c>
      <c r="E36" s="34" t="s">
        <v>88</v>
      </c>
      <c r="F36" s="13"/>
    </row>
    <row r="37" customFormat="false" ht="15" hidden="false" customHeight="false" outlineLevel="0" collapsed="false">
      <c r="A37" s="35"/>
      <c r="B37" s="35"/>
      <c r="C37" s="13" t="s">
        <v>136</v>
      </c>
      <c r="D37" s="33" t="n">
        <v>13</v>
      </c>
      <c r="E37" s="34" t="s">
        <v>88</v>
      </c>
      <c r="F37" s="13"/>
    </row>
    <row r="38" customFormat="false" ht="15" hidden="false" customHeight="false" outlineLevel="0" collapsed="false">
      <c r="A38" s="35"/>
      <c r="B38" s="35"/>
      <c r="C38" s="13" t="s">
        <v>137</v>
      </c>
      <c r="D38" s="33" t="n">
        <v>8</v>
      </c>
      <c r="E38" s="34" t="s">
        <v>88</v>
      </c>
      <c r="F38" s="13"/>
    </row>
    <row r="39" customFormat="false" ht="15" hidden="false" customHeight="false" outlineLevel="0" collapsed="false">
      <c r="A39" s="35"/>
      <c r="B39" s="35"/>
      <c r="C39" s="13" t="s">
        <v>138</v>
      </c>
      <c r="D39" s="33" t="n">
        <v>13</v>
      </c>
      <c r="E39" s="34" t="s">
        <v>88</v>
      </c>
      <c r="F39" s="13"/>
    </row>
    <row r="40" customFormat="false" ht="15" hidden="false" customHeight="false" outlineLevel="0" collapsed="false">
      <c r="A40" s="35"/>
      <c r="B40" s="35"/>
      <c r="C40" s="13" t="s">
        <v>139</v>
      </c>
      <c r="D40" s="33" t="n">
        <v>10.5</v>
      </c>
      <c r="E40" s="34" t="s">
        <v>88</v>
      </c>
      <c r="F40" s="13"/>
    </row>
    <row r="41" customFormat="false" ht="15" hidden="false" customHeight="false" outlineLevel="0" collapsed="false">
      <c r="A41" s="35"/>
      <c r="B41" s="35"/>
      <c r="C41" s="13" t="s">
        <v>140</v>
      </c>
      <c r="D41" s="33" t="n">
        <v>5.5</v>
      </c>
      <c r="E41" s="34" t="s">
        <v>88</v>
      </c>
      <c r="F41" s="13"/>
    </row>
    <row r="42" customFormat="false" ht="15" hidden="false" customHeight="true" outlineLevel="0" collapsed="false">
      <c r="A42" s="35" t="s">
        <v>95</v>
      </c>
      <c r="B42" s="3" t="s">
        <v>141</v>
      </c>
      <c r="C42" s="13" t="s">
        <v>142</v>
      </c>
      <c r="D42" s="33" t="n">
        <v>13</v>
      </c>
      <c r="E42" s="34" t="s">
        <v>88</v>
      </c>
      <c r="F42" s="13"/>
    </row>
    <row r="43" customFormat="false" ht="15" hidden="false" customHeight="false" outlineLevel="0" collapsed="false">
      <c r="A43" s="35"/>
      <c r="B43" s="35"/>
      <c r="C43" s="13" t="s">
        <v>143</v>
      </c>
      <c r="D43" s="33" t="n">
        <v>6.5</v>
      </c>
      <c r="E43" s="34" t="s">
        <v>88</v>
      </c>
      <c r="F43" s="13"/>
    </row>
    <row r="44" customFormat="false" ht="15" hidden="false" customHeight="false" outlineLevel="0" collapsed="false">
      <c r="A44" s="35"/>
      <c r="B44" s="35"/>
      <c r="C44" s="13" t="s">
        <v>144</v>
      </c>
      <c r="D44" s="33" t="n">
        <v>6.5</v>
      </c>
      <c r="E44" s="34" t="s">
        <v>88</v>
      </c>
      <c r="F44" s="13"/>
    </row>
    <row r="45" customFormat="false" ht="15" hidden="false" customHeight="true" outlineLevel="0" collapsed="false">
      <c r="A45" s="35" t="s">
        <v>98</v>
      </c>
      <c r="B45" s="3" t="s">
        <v>145</v>
      </c>
      <c r="C45" s="13" t="s">
        <v>146</v>
      </c>
      <c r="D45" s="33" t="n">
        <v>8</v>
      </c>
      <c r="E45" s="34" t="s">
        <v>88</v>
      </c>
      <c r="F45" s="13"/>
    </row>
    <row r="46" customFormat="false" ht="15" hidden="false" customHeight="false" outlineLevel="0" collapsed="false">
      <c r="A46" s="35"/>
      <c r="B46" s="35"/>
      <c r="C46" s="13" t="s">
        <v>147</v>
      </c>
      <c r="D46" s="33" t="n">
        <v>6.5</v>
      </c>
      <c r="E46" s="34" t="s">
        <v>88</v>
      </c>
      <c r="F46" s="13"/>
    </row>
    <row r="47" customFormat="false" ht="15" hidden="false" customHeight="false" outlineLevel="0" collapsed="false">
      <c r="A47" s="35"/>
      <c r="B47" s="35"/>
      <c r="C47" s="13" t="s">
        <v>148</v>
      </c>
      <c r="D47" s="33" t="n">
        <v>8</v>
      </c>
      <c r="E47" s="34" t="s">
        <v>88</v>
      </c>
      <c r="F47" s="13"/>
    </row>
    <row r="48" customFormat="false" ht="15" hidden="false" customHeight="false" outlineLevel="0" collapsed="false">
      <c r="A48" s="35"/>
      <c r="B48" s="35"/>
      <c r="C48" s="13" t="s">
        <v>149</v>
      </c>
      <c r="D48" s="33" t="n">
        <v>32.5</v>
      </c>
      <c r="E48" s="34" t="s">
        <v>88</v>
      </c>
      <c r="F48" s="13"/>
    </row>
    <row r="49" customFormat="false" ht="15" hidden="false" customHeight="true" outlineLevel="0" collapsed="false">
      <c r="A49" s="35" t="s">
        <v>100</v>
      </c>
      <c r="B49" s="3" t="s">
        <v>150</v>
      </c>
      <c r="C49" s="13" t="s">
        <v>151</v>
      </c>
      <c r="D49" s="33" t="n">
        <v>10.5</v>
      </c>
      <c r="E49" s="34" t="s">
        <v>108</v>
      </c>
      <c r="F49" s="13"/>
    </row>
    <row r="50" customFormat="false" ht="15" hidden="false" customHeight="false" outlineLevel="0" collapsed="false">
      <c r="A50" s="35"/>
      <c r="B50" s="35"/>
      <c r="C50" s="13" t="s">
        <v>152</v>
      </c>
      <c r="D50" s="33" t="n">
        <v>8</v>
      </c>
      <c r="E50" s="34" t="s">
        <v>108</v>
      </c>
      <c r="F50" s="13"/>
    </row>
    <row r="51" customFormat="false" ht="15" hidden="false" customHeight="false" outlineLevel="0" collapsed="false">
      <c r="A51" s="35"/>
      <c r="B51" s="35"/>
      <c r="C51" s="13" t="s">
        <v>153</v>
      </c>
      <c r="D51" s="33" t="n">
        <v>19.5</v>
      </c>
      <c r="E51" s="34" t="s">
        <v>108</v>
      </c>
      <c r="F51" s="13"/>
    </row>
    <row r="52" customFormat="false" ht="15" hidden="false" customHeight="false" outlineLevel="0" collapsed="false">
      <c r="A52" s="35"/>
      <c r="B52" s="35"/>
      <c r="C52" s="13" t="s">
        <v>154</v>
      </c>
      <c r="D52" s="33" t="n">
        <v>10.5</v>
      </c>
      <c r="E52" s="34" t="s">
        <v>108</v>
      </c>
      <c r="F52" s="13"/>
    </row>
    <row r="53" customFormat="false" ht="15" hidden="false" customHeight="false" outlineLevel="0" collapsed="false">
      <c r="A53" s="35"/>
      <c r="B53" s="35"/>
      <c r="C53" s="13" t="s">
        <v>155</v>
      </c>
      <c r="D53" s="33" t="n">
        <v>19.5</v>
      </c>
      <c r="E53" s="34" t="s">
        <v>108</v>
      </c>
      <c r="F53" s="13"/>
    </row>
    <row r="54" customFormat="false" ht="15" hidden="false" customHeight="false" outlineLevel="0" collapsed="false">
      <c r="A54" s="35"/>
      <c r="B54" s="35"/>
      <c r="C54" s="13" t="s">
        <v>156</v>
      </c>
      <c r="D54" s="33" t="n">
        <v>13</v>
      </c>
      <c r="E54" s="34" t="s">
        <v>108</v>
      </c>
      <c r="F54" s="13"/>
    </row>
    <row r="55" customFormat="false" ht="15" hidden="false" customHeight="false" outlineLevel="0" collapsed="false">
      <c r="A55" s="35"/>
      <c r="B55" s="35"/>
      <c r="C55" s="13" t="s">
        <v>157</v>
      </c>
      <c r="D55" s="33" t="n">
        <v>10.5</v>
      </c>
      <c r="E55" s="34" t="s">
        <v>108</v>
      </c>
      <c r="F55" s="13"/>
    </row>
    <row r="56" customFormat="false" ht="15" hidden="false" customHeight="false" outlineLevel="0" collapsed="false">
      <c r="A56" s="35"/>
      <c r="B56" s="35"/>
      <c r="C56" s="13" t="s">
        <v>158</v>
      </c>
      <c r="D56" s="33" t="n">
        <v>5.5</v>
      </c>
      <c r="E56" s="34" t="s">
        <v>108</v>
      </c>
      <c r="F56" s="13"/>
    </row>
    <row r="57" customFormat="false" ht="15" hidden="false" customHeight="false" outlineLevel="0" collapsed="false">
      <c r="A57" s="35"/>
      <c r="B57" s="35"/>
      <c r="C57" s="13" t="s">
        <v>159</v>
      </c>
      <c r="D57" s="33" t="n">
        <v>13</v>
      </c>
      <c r="E57" s="34" t="s">
        <v>108</v>
      </c>
      <c r="F57" s="13"/>
    </row>
    <row r="58" customFormat="false" ht="15" hidden="false" customHeight="true" outlineLevel="0" collapsed="false">
      <c r="A58" s="35" t="s">
        <v>102</v>
      </c>
      <c r="B58" s="3" t="s">
        <v>160</v>
      </c>
      <c r="C58" s="13" t="s">
        <v>161</v>
      </c>
      <c r="D58" s="33" t="n">
        <v>10.5</v>
      </c>
      <c r="E58" s="34" t="s">
        <v>108</v>
      </c>
      <c r="F58" s="13"/>
    </row>
    <row r="59" customFormat="false" ht="15" hidden="false" customHeight="false" outlineLevel="0" collapsed="false">
      <c r="A59" s="35"/>
      <c r="B59" s="35"/>
      <c r="C59" s="13" t="s">
        <v>162</v>
      </c>
      <c r="D59" s="33" t="n">
        <v>10.5</v>
      </c>
      <c r="E59" s="34" t="s">
        <v>108</v>
      </c>
      <c r="F59" s="13"/>
    </row>
    <row r="60" customFormat="false" ht="15" hidden="false" customHeight="false" outlineLevel="0" collapsed="false">
      <c r="A60" s="35"/>
      <c r="B60" s="35"/>
      <c r="C60" s="13" t="s">
        <v>163</v>
      </c>
      <c r="D60" s="33" t="n">
        <v>13</v>
      </c>
      <c r="E60" s="34" t="s">
        <v>108</v>
      </c>
      <c r="F60" s="13"/>
    </row>
    <row r="61" customFormat="false" ht="15" hidden="false" customHeight="false" outlineLevel="0" collapsed="false">
      <c r="A61" s="35"/>
      <c r="B61" s="35"/>
      <c r="C61" s="13" t="s">
        <v>164</v>
      </c>
      <c r="D61" s="33" t="n">
        <v>6.5</v>
      </c>
      <c r="E61" s="34" t="s">
        <v>108</v>
      </c>
      <c r="F61" s="13"/>
    </row>
    <row r="62" customFormat="false" ht="15" hidden="false" customHeight="false" outlineLevel="0" collapsed="false">
      <c r="A62" s="35"/>
      <c r="B62" s="35"/>
      <c r="C62" s="13" t="s">
        <v>165</v>
      </c>
      <c r="D62" s="33" t="n">
        <v>4</v>
      </c>
      <c r="E62" s="34" t="s">
        <v>108</v>
      </c>
      <c r="F62" s="13"/>
    </row>
    <row r="63" customFormat="false" ht="15" hidden="false" customHeight="false" outlineLevel="0" collapsed="false">
      <c r="A63" s="35"/>
      <c r="B63" s="35"/>
      <c r="C63" s="13" t="s">
        <v>166</v>
      </c>
      <c r="D63" s="33" t="n">
        <v>16</v>
      </c>
      <c r="E63" s="34" t="s">
        <v>108</v>
      </c>
      <c r="F63" s="13"/>
    </row>
    <row r="64" customFormat="false" ht="15" hidden="false" customHeight="true" outlineLevel="0" collapsed="false">
      <c r="A64" s="35" t="s">
        <v>104</v>
      </c>
      <c r="B64" s="3" t="s">
        <v>167</v>
      </c>
      <c r="C64" s="13" t="s">
        <v>168</v>
      </c>
      <c r="D64" s="33" t="n">
        <v>16</v>
      </c>
      <c r="E64" s="34" t="s">
        <v>108</v>
      </c>
      <c r="F64" s="13"/>
    </row>
    <row r="65" customFormat="false" ht="15" hidden="false" customHeight="false" outlineLevel="0" collapsed="false">
      <c r="A65" s="35"/>
      <c r="B65" s="35"/>
      <c r="C65" s="13" t="s">
        <v>169</v>
      </c>
      <c r="D65" s="33" t="n">
        <v>10.5</v>
      </c>
      <c r="E65" s="34" t="s">
        <v>108</v>
      </c>
      <c r="F65" s="13"/>
    </row>
    <row r="66" customFormat="false" ht="15" hidden="false" customHeight="false" outlineLevel="0" collapsed="false">
      <c r="A66" s="35"/>
      <c r="B66" s="35"/>
      <c r="C66" s="13" t="s">
        <v>170</v>
      </c>
      <c r="D66" s="33" t="n">
        <v>10.5</v>
      </c>
      <c r="E66" s="34" t="s">
        <v>108</v>
      </c>
      <c r="F66" s="13"/>
    </row>
    <row r="67" customFormat="false" ht="15" hidden="false" customHeight="false" outlineLevel="0" collapsed="false">
      <c r="A67" s="35"/>
      <c r="B67" s="35"/>
      <c r="C67" s="13" t="s">
        <v>171</v>
      </c>
      <c r="D67" s="33" t="n">
        <v>8</v>
      </c>
      <c r="E67" s="34" t="s">
        <v>108</v>
      </c>
      <c r="F67" s="13"/>
    </row>
    <row r="68" customFormat="false" ht="15" hidden="false" customHeight="false" outlineLevel="0" collapsed="false">
      <c r="A68" s="35"/>
      <c r="B68" s="35"/>
      <c r="C68" s="13" t="s">
        <v>172</v>
      </c>
      <c r="D68" s="33" t="n">
        <v>6.5</v>
      </c>
      <c r="E68" s="34" t="s">
        <v>108</v>
      </c>
      <c r="F68" s="13"/>
    </row>
    <row r="69" customFormat="false" ht="15" hidden="false" customHeight="false" outlineLevel="0" collapsed="false">
      <c r="A69" s="35"/>
      <c r="B69" s="35"/>
      <c r="C69" s="13" t="s">
        <v>173</v>
      </c>
      <c r="D69" s="33" t="n">
        <v>8</v>
      </c>
      <c r="E69" s="34" t="s">
        <v>108</v>
      </c>
      <c r="F69" s="13"/>
    </row>
    <row r="70" customFormat="false" ht="15" hidden="false" customHeight="true" outlineLevel="0" collapsed="false">
      <c r="A70" s="35" t="s">
        <v>106</v>
      </c>
      <c r="B70" s="3" t="s">
        <v>174</v>
      </c>
      <c r="C70" s="13" t="s">
        <v>175</v>
      </c>
      <c r="D70" s="33" t="n">
        <v>13</v>
      </c>
      <c r="E70" s="34" t="s">
        <v>108</v>
      </c>
      <c r="F70" s="13"/>
    </row>
    <row r="71" customFormat="false" ht="15" hidden="false" customHeight="false" outlineLevel="0" collapsed="false">
      <c r="A71" s="35"/>
      <c r="B71" s="35"/>
      <c r="C71" s="13" t="s">
        <v>176</v>
      </c>
      <c r="D71" s="33" t="n">
        <v>6.5</v>
      </c>
      <c r="E71" s="34" t="s">
        <v>108</v>
      </c>
      <c r="F71" s="13"/>
    </row>
    <row r="72" customFormat="false" ht="15" hidden="false" customHeight="false" outlineLevel="0" collapsed="false">
      <c r="A72" s="35"/>
      <c r="B72" s="35"/>
      <c r="C72" s="13" t="s">
        <v>177</v>
      </c>
      <c r="D72" s="33" t="n">
        <v>8</v>
      </c>
      <c r="E72" s="34" t="s">
        <v>108</v>
      </c>
      <c r="F72" s="13"/>
    </row>
    <row r="73" customFormat="false" ht="15" hidden="false" customHeight="true" outlineLevel="0" collapsed="false">
      <c r="A73" s="35" t="s">
        <v>109</v>
      </c>
      <c r="B73" s="3" t="s">
        <v>178</v>
      </c>
      <c r="C73" s="13" t="s">
        <v>179</v>
      </c>
      <c r="D73" s="33" t="n">
        <v>13</v>
      </c>
      <c r="E73" s="34" t="s">
        <v>111</v>
      </c>
      <c r="F73" s="13"/>
    </row>
    <row r="74" customFormat="false" ht="15" hidden="false" customHeight="false" outlineLevel="0" collapsed="false">
      <c r="A74" s="35"/>
      <c r="B74" s="35"/>
      <c r="C74" s="13" t="s">
        <v>180</v>
      </c>
      <c r="D74" s="33" t="n">
        <v>13</v>
      </c>
      <c r="E74" s="34" t="s">
        <v>111</v>
      </c>
      <c r="F74" s="13"/>
    </row>
    <row r="75" customFormat="false" ht="15" hidden="false" customHeight="false" outlineLevel="0" collapsed="false">
      <c r="A75" s="35"/>
      <c r="B75" s="35"/>
      <c r="C75" s="13" t="s">
        <v>181</v>
      </c>
      <c r="D75" s="33" t="n">
        <v>19.5</v>
      </c>
      <c r="E75" s="34" t="s">
        <v>111</v>
      </c>
      <c r="F75" s="13"/>
    </row>
    <row r="76" customFormat="false" ht="15" hidden="false" customHeight="false" outlineLevel="0" collapsed="false">
      <c r="A76" s="35"/>
      <c r="B76" s="35"/>
      <c r="C76" s="13" t="s">
        <v>182</v>
      </c>
      <c r="D76" s="33" t="n">
        <v>13</v>
      </c>
      <c r="E76" s="34" t="s">
        <v>111</v>
      </c>
      <c r="F76" s="13"/>
    </row>
    <row r="77" customFormat="false" ht="15" hidden="false" customHeight="false" outlineLevel="0" collapsed="false">
      <c r="A77" s="35"/>
      <c r="B77" s="35"/>
      <c r="C77" s="13" t="s">
        <v>183</v>
      </c>
      <c r="D77" s="33" t="n">
        <v>16</v>
      </c>
      <c r="E77" s="34" t="s">
        <v>111</v>
      </c>
      <c r="F77" s="13"/>
    </row>
    <row r="78" customFormat="false" ht="15" hidden="false" customHeight="false" outlineLevel="0" collapsed="false">
      <c r="A78" s="35"/>
      <c r="B78" s="35"/>
      <c r="C78" s="13" t="s">
        <v>184</v>
      </c>
      <c r="D78" s="33" t="n">
        <v>16</v>
      </c>
      <c r="E78" s="34" t="s">
        <v>111</v>
      </c>
      <c r="F78" s="13"/>
    </row>
  </sheetData>
  <mergeCells count="24">
    <mergeCell ref="A1:F1"/>
    <mergeCell ref="A5:F5"/>
    <mergeCell ref="A8:F8"/>
    <mergeCell ref="A20:F20"/>
    <mergeCell ref="A21:A24"/>
    <mergeCell ref="B21:B24"/>
    <mergeCell ref="A25:A33"/>
    <mergeCell ref="B25:B33"/>
    <mergeCell ref="A34:A41"/>
    <mergeCell ref="B34:B41"/>
    <mergeCell ref="A42:A44"/>
    <mergeCell ref="B42:B44"/>
    <mergeCell ref="A45:A48"/>
    <mergeCell ref="B45:B48"/>
    <mergeCell ref="A49:A57"/>
    <mergeCell ref="B49:B57"/>
    <mergeCell ref="A58:A63"/>
    <mergeCell ref="B58:B63"/>
    <mergeCell ref="A64:A69"/>
    <mergeCell ref="B64:B69"/>
    <mergeCell ref="A70:A72"/>
    <mergeCell ref="B70:B72"/>
    <mergeCell ref="A73:A78"/>
    <mergeCell ref="B73:B7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5" min="3" style="0" width="18"/>
    <col collapsed="false" customWidth="true" hidden="false" outlineLevel="0" max="6" min="6" style="0" width="20"/>
    <col collapsed="false" customWidth="true" hidden="false" outlineLevel="0" max="7" min="7" style="0" width="36"/>
  </cols>
  <sheetData>
    <row r="1" customFormat="false" ht="30" hidden="false" customHeight="true" outlineLevel="0" collapsed="false">
      <c r="A1" s="1" t="s">
        <v>185</v>
      </c>
      <c r="B1" s="1"/>
      <c r="C1" s="1"/>
      <c r="D1" s="1"/>
      <c r="E1" s="1"/>
      <c r="F1" s="1"/>
      <c r="G1" s="1"/>
    </row>
    <row r="3" customFormat="false" ht="45.75" hidden="false" customHeight="true" outlineLevel="0" collapsed="false">
      <c r="A3" s="12" t="s">
        <v>82</v>
      </c>
      <c r="B3" s="12" t="s">
        <v>33</v>
      </c>
      <c r="C3" s="12" t="s">
        <v>186</v>
      </c>
      <c r="D3" s="12" t="s">
        <v>187</v>
      </c>
      <c r="E3" s="12" t="s">
        <v>188</v>
      </c>
      <c r="F3" s="12" t="s">
        <v>189</v>
      </c>
      <c r="G3" s="12" t="s">
        <v>37</v>
      </c>
    </row>
    <row r="4" customFormat="false" ht="15" hidden="false" customHeight="false" outlineLevel="0" collapsed="false">
      <c r="A4" s="36" t="n">
        <v>1</v>
      </c>
      <c r="B4" s="13" t="s">
        <v>190</v>
      </c>
      <c r="C4" s="16" t="n">
        <v>8000000</v>
      </c>
      <c r="D4" s="16" t="n">
        <v>20000000</v>
      </c>
      <c r="E4" s="16" t="n">
        <v>60000000</v>
      </c>
      <c r="F4" s="15" t="n">
        <f aca="false">C4*'Đơn giá &amp; giả định'!$B$10+D4*'Đơn giá &amp; giả định'!$B$11+E4*'Đơn giá &amp; giả định'!$B$12</f>
        <v>444000000</v>
      </c>
      <c r="G4" s="13" t="s">
        <v>191</v>
      </c>
    </row>
    <row r="5" customFormat="false" ht="15" hidden="false" customHeight="false" outlineLevel="0" collapsed="false">
      <c r="A5" s="37" t="n">
        <v>2</v>
      </c>
      <c r="B5" s="38" t="s">
        <v>192</v>
      </c>
      <c r="C5" s="16" t="n">
        <v>6000000</v>
      </c>
      <c r="D5" s="16" t="n">
        <v>15000000</v>
      </c>
      <c r="E5" s="16" t="n">
        <v>40000000</v>
      </c>
      <c r="F5" s="15" t="n">
        <f aca="false">C5*'Đơn giá &amp; giả định'!$B$10+D5*'Đơn giá &amp; giả định'!$B$11+E5*'Đơn giá &amp; giả định'!$B$12</f>
        <v>303000000</v>
      </c>
      <c r="G5" s="38" t="s">
        <v>193</v>
      </c>
    </row>
    <row r="6" customFormat="false" ht="15" hidden="false" customHeight="false" outlineLevel="0" collapsed="false">
      <c r="A6" s="36" t="n">
        <v>3</v>
      </c>
      <c r="B6" s="13" t="s">
        <v>194</v>
      </c>
      <c r="C6" s="16" t="n">
        <v>3000000</v>
      </c>
      <c r="D6" s="16" t="n">
        <v>15000000</v>
      </c>
      <c r="E6" s="16" t="n">
        <v>60000000</v>
      </c>
      <c r="F6" s="15" t="n">
        <f aca="false">C6*'Đơn giá &amp; giả định'!$B$10+D6*'Đơn giá &amp; giả định'!$B$11+E6*'Đơn giá &amp; giả định'!$B$12</f>
        <v>414000000</v>
      </c>
      <c r="G6" s="13" t="s">
        <v>195</v>
      </c>
    </row>
    <row r="7" customFormat="false" ht="15" hidden="false" customHeight="false" outlineLevel="0" collapsed="false">
      <c r="A7" s="37" t="n">
        <v>4</v>
      </c>
      <c r="B7" s="38" t="s">
        <v>196</v>
      </c>
      <c r="C7" s="16" t="n">
        <v>3000000</v>
      </c>
      <c r="D7" s="16" t="n">
        <v>8000000</v>
      </c>
      <c r="E7" s="16" t="n">
        <v>20000000</v>
      </c>
      <c r="F7" s="15" t="n">
        <f aca="false">C7*'Đơn giá &amp; giả định'!$B$10+D7*'Đơn giá &amp; giả định'!$B$11+E7*'Đơn giá &amp; giả định'!$B$12</f>
        <v>153000000</v>
      </c>
      <c r="G7" s="38"/>
    </row>
    <row r="8" customFormat="false" ht="15" hidden="false" customHeight="false" outlineLevel="0" collapsed="false">
      <c r="A8" s="36" t="n">
        <v>5</v>
      </c>
      <c r="B8" s="13" t="s">
        <v>197</v>
      </c>
      <c r="C8" s="16" t="n">
        <v>2000000</v>
      </c>
      <c r="D8" s="16" t="n">
        <v>5000000</v>
      </c>
      <c r="E8" s="16" t="n">
        <v>15000000</v>
      </c>
      <c r="F8" s="15" t="n">
        <f aca="false">C8*'Đơn giá &amp; giả định'!$B$10+D8*'Đơn giá &amp; giả định'!$B$11+E8*'Đơn giá &amp; giả định'!$B$12</f>
        <v>111000000</v>
      </c>
      <c r="G8" s="13" t="s">
        <v>198</v>
      </c>
    </row>
    <row r="9" customFormat="false" ht="15" hidden="false" customHeight="false" outlineLevel="0" collapsed="false">
      <c r="A9" s="37" t="n">
        <v>6</v>
      </c>
      <c r="B9" s="38" t="s">
        <v>199</v>
      </c>
      <c r="C9" s="16" t="n">
        <v>5000000</v>
      </c>
      <c r="D9" s="16" t="n">
        <v>25000000</v>
      </c>
      <c r="E9" s="16" t="n">
        <v>80000000</v>
      </c>
      <c r="F9" s="15" t="n">
        <f aca="false">C9*'Đơn giá &amp; giả định'!$B$10+D9*'Đơn giá &amp; giả định'!$B$11+E9*'Đơn giá &amp; giả định'!$B$12</f>
        <v>570000000</v>
      </c>
      <c r="G9" s="38" t="s">
        <v>200</v>
      </c>
    </row>
    <row r="10" customFormat="false" ht="15" hidden="false" customHeight="false" outlineLevel="0" collapsed="false">
      <c r="A10" s="36" t="n">
        <v>7</v>
      </c>
      <c r="B10" s="13" t="s">
        <v>201</v>
      </c>
      <c r="C10" s="16" t="n">
        <v>3000000</v>
      </c>
      <c r="D10" s="16" t="n">
        <v>15000000</v>
      </c>
      <c r="E10" s="16" t="n">
        <v>50000000</v>
      </c>
      <c r="F10" s="15" t="n">
        <f aca="false">C10*'Đơn giá &amp; giả định'!$B$10+D10*'Đơn giá &amp; giả định'!$B$11+E10*'Đơn giá &amp; giả định'!$B$12</f>
        <v>354000000</v>
      </c>
      <c r="G10" s="13" t="s">
        <v>202</v>
      </c>
    </row>
    <row r="11" customFormat="false" ht="15" hidden="false" customHeight="false" outlineLevel="0" collapsed="false">
      <c r="A11" s="39"/>
      <c r="B11" s="21" t="s">
        <v>203</v>
      </c>
      <c r="C11" s="40" t="n">
        <f aca="false">SUM(C4:C10)</f>
        <v>30000000</v>
      </c>
      <c r="D11" s="40" t="n">
        <f aca="false">SUM(D4:D10)</f>
        <v>103000000</v>
      </c>
      <c r="E11" s="40" t="n">
        <f aca="false">SUM(E4:E10)</f>
        <v>325000000</v>
      </c>
      <c r="F11" s="40" t="n">
        <f aca="false">SUM(F4:F10)</f>
        <v>2349000000</v>
      </c>
      <c r="G11" s="39" t="s">
        <v>204</v>
      </c>
    </row>
    <row r="13" customFormat="false" ht="15" hidden="false" customHeight="false" outlineLevel="0" collapsed="false">
      <c r="B13" s="3" t="s">
        <v>205</v>
      </c>
      <c r="C13" s="15" t="n">
        <f aca="false">C11*'Đơn giá &amp; giả định'!B10</f>
        <v>90000000</v>
      </c>
      <c r="D13" s="15" t="n">
        <f aca="false">D11*'Đơn giá &amp; giả định'!B11</f>
        <v>309000000</v>
      </c>
      <c r="E13" s="15" t="n">
        <f aca="false">E11*'Đơn giá &amp; giả định'!B12</f>
        <v>1950000000</v>
      </c>
    </row>
    <row r="14" customFormat="false" ht="15" hidden="false" customHeight="false" outlineLevel="0" collapsed="false">
      <c r="C14" s="36" t="s">
        <v>88</v>
      </c>
      <c r="D14" s="36" t="s">
        <v>108</v>
      </c>
      <c r="E14" s="36" t="s">
        <v>111</v>
      </c>
    </row>
    <row r="16" customFormat="false" ht="15" hidden="false" customHeight="true" outlineLevel="0" collapsed="false">
      <c r="A16" s="23" t="s">
        <v>206</v>
      </c>
      <c r="B16" s="23"/>
      <c r="C16" s="23"/>
      <c r="D16" s="23"/>
      <c r="E16" s="23"/>
      <c r="F16" s="23"/>
      <c r="G16" s="23"/>
    </row>
    <row r="17" customFormat="false" ht="15" hidden="false" customHeight="false" outlineLevel="0" collapsed="false">
      <c r="A17" s="23"/>
      <c r="B17" s="23"/>
      <c r="C17" s="23"/>
      <c r="D17" s="23"/>
      <c r="E17" s="23"/>
      <c r="F17" s="23"/>
      <c r="G17" s="23"/>
    </row>
  </sheetData>
  <mergeCells count="2">
    <mergeCell ref="A1:G1"/>
    <mergeCell ref="A16:G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10"/>
    <col collapsed="false" customWidth="true" hidden="false" outlineLevel="0" max="4" min="4" style="0" width="18"/>
    <col collapsed="false" customWidth="true" hidden="false" outlineLevel="0" max="5" min="5" style="0" width="20"/>
    <col collapsed="false" customWidth="true" hidden="false" outlineLevel="0" max="6" min="6" style="0" width="44"/>
  </cols>
  <sheetData>
    <row r="1" customFormat="false" ht="30" hidden="false" customHeight="true" outlineLevel="0" collapsed="false">
      <c r="A1" s="1" t="s">
        <v>207</v>
      </c>
      <c r="B1" s="1"/>
      <c r="C1" s="1"/>
      <c r="D1" s="1"/>
      <c r="E1" s="1"/>
      <c r="F1" s="1"/>
    </row>
    <row r="3" customFormat="false" ht="31.5" hidden="false" customHeight="true" outlineLevel="0" collapsed="false">
      <c r="A3" s="12" t="s">
        <v>82</v>
      </c>
      <c r="B3" s="12" t="s">
        <v>33</v>
      </c>
      <c r="C3" s="12" t="s">
        <v>208</v>
      </c>
      <c r="D3" s="12" t="s">
        <v>35</v>
      </c>
      <c r="E3" s="12" t="s">
        <v>36</v>
      </c>
      <c r="F3" s="12" t="s">
        <v>37</v>
      </c>
    </row>
    <row r="4" customFormat="false" ht="23.85" hidden="false" customHeight="false" outlineLevel="0" collapsed="false">
      <c r="A4" s="36" t="n">
        <v>1</v>
      </c>
      <c r="B4" s="13" t="s">
        <v>209</v>
      </c>
      <c r="C4" s="41" t="n">
        <v>1</v>
      </c>
      <c r="D4" s="16" t="n">
        <v>250000000</v>
      </c>
      <c r="E4" s="15" t="n">
        <f aca="false">C4*D4</f>
        <v>250000000</v>
      </c>
      <c r="F4" s="13" t="s">
        <v>210</v>
      </c>
    </row>
    <row r="5" customFormat="false" ht="15" hidden="false" customHeight="false" outlineLevel="0" collapsed="false">
      <c r="A5" s="37" t="n">
        <v>2</v>
      </c>
      <c r="B5" s="38" t="s">
        <v>211</v>
      </c>
      <c r="C5" s="41" t="n">
        <v>1</v>
      </c>
      <c r="D5" s="16" t="n">
        <v>5000000</v>
      </c>
      <c r="E5" s="15" t="n">
        <f aca="false">C5*D5</f>
        <v>5000000</v>
      </c>
      <c r="F5" s="38" t="s">
        <v>212</v>
      </c>
    </row>
    <row r="6" customFormat="false" ht="15" hidden="false" customHeight="false" outlineLevel="0" collapsed="false">
      <c r="B6" s="21" t="s">
        <v>213</v>
      </c>
      <c r="E6" s="40" t="n">
        <f aca="false">SUM(E4:E5)</f>
        <v>255000000</v>
      </c>
    </row>
    <row r="8" customFormat="false" ht="15" hidden="false" customHeight="true" outlineLevel="0" collapsed="false">
      <c r="A8" s="42" t="s">
        <v>214</v>
      </c>
      <c r="B8" s="42"/>
      <c r="C8" s="42"/>
      <c r="D8" s="42"/>
      <c r="E8" s="42"/>
      <c r="F8" s="42"/>
    </row>
  </sheetData>
  <mergeCells count="2">
    <mergeCell ref="A1:F1"/>
    <mergeCell ref="A8:F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4"/>
    <col collapsed="false" customWidth="true" hidden="false" outlineLevel="0" max="4" min="4" style="0" width="16"/>
    <col collapsed="false" customWidth="true" hidden="false" outlineLevel="0" max="5" min="5" style="0" width="14"/>
    <col collapsed="false" customWidth="true" hidden="false" outlineLevel="0" max="7" min="6" style="0" width="12"/>
    <col collapsed="false" customWidth="true" hidden="false" outlineLevel="0" max="8" min="8" style="0" width="14"/>
  </cols>
  <sheetData>
    <row r="1" customFormat="false" ht="30" hidden="false" customHeight="true" outlineLevel="0" collapsed="false">
      <c r="A1" s="1" t="s">
        <v>215</v>
      </c>
      <c r="B1" s="1"/>
      <c r="C1" s="1"/>
      <c r="D1" s="1"/>
      <c r="E1" s="1"/>
      <c r="F1" s="1"/>
      <c r="G1" s="1"/>
      <c r="H1" s="1"/>
    </row>
    <row r="3" customFormat="false" ht="31.5" hidden="false" customHeight="true" outlineLevel="0" collapsed="false">
      <c r="A3" s="12" t="s">
        <v>82</v>
      </c>
      <c r="B3" s="12" t="s">
        <v>42</v>
      </c>
      <c r="C3" s="12" t="s">
        <v>216</v>
      </c>
      <c r="D3" s="12" t="s">
        <v>34</v>
      </c>
      <c r="E3" s="12" t="s">
        <v>217</v>
      </c>
      <c r="F3" s="12" t="s">
        <v>218</v>
      </c>
      <c r="G3" s="12" t="s">
        <v>219</v>
      </c>
      <c r="H3" s="12" t="s">
        <v>220</v>
      </c>
    </row>
    <row r="4" customFormat="false" ht="36" hidden="false" customHeight="true" outlineLevel="0" collapsed="false">
      <c r="A4" s="36" t="n">
        <v>1</v>
      </c>
      <c r="B4" s="3" t="s">
        <v>221</v>
      </c>
      <c r="C4" s="13" t="s">
        <v>222</v>
      </c>
      <c r="D4" s="14" t="n">
        <f aca="false">SUMIF('Hạng mục công việc'!$E$8:$E$78,"GĐ1",'Hạng mục công việc'!$D$8:$D$78)</f>
        <v>384</v>
      </c>
      <c r="E4" s="43" t="n">
        <f aca="false">'Đơn giá &amp; giả định'!$B$8</f>
        <v>40</v>
      </c>
      <c r="F4" s="44" t="n">
        <f aca="false">ROUNDUP(D4/E4,0)</f>
        <v>10</v>
      </c>
      <c r="G4" s="41" t="n">
        <v>2</v>
      </c>
      <c r="H4" s="45" t="n">
        <f aca="false">F4+G4</f>
        <v>12</v>
      </c>
    </row>
    <row r="5" customFormat="false" ht="36" hidden="false" customHeight="true" outlineLevel="0" collapsed="false">
      <c r="A5" s="36" t="n">
        <v>2</v>
      </c>
      <c r="B5" s="3" t="s">
        <v>223</v>
      </c>
      <c r="C5" s="13" t="s">
        <v>224</v>
      </c>
      <c r="D5" s="14" t="n">
        <f aca="false">SUMIF('Hạng mục công việc'!$E$8:$E$78,"GĐ2",'Hạng mục công việc'!$D$8:$D$78)</f>
        <v>270.5</v>
      </c>
      <c r="E5" s="43" t="n">
        <f aca="false">'Đơn giá &amp; giả định'!$B$8</f>
        <v>40</v>
      </c>
      <c r="F5" s="44" t="n">
        <f aca="false">ROUNDUP(D5/E5,0)</f>
        <v>7</v>
      </c>
      <c r="G5" s="41" t="n">
        <v>2</v>
      </c>
      <c r="H5" s="45" t="n">
        <f aca="false">F5+G5</f>
        <v>9</v>
      </c>
    </row>
    <row r="6" customFormat="false" ht="36" hidden="false" customHeight="true" outlineLevel="0" collapsed="false">
      <c r="A6" s="36" t="n">
        <v>3</v>
      </c>
      <c r="B6" s="3" t="s">
        <v>225</v>
      </c>
      <c r="C6" s="13" t="s">
        <v>226</v>
      </c>
      <c r="D6" s="14" t="n">
        <f aca="false">SUMIF('Hạng mục công việc'!$E$8:$E$78,"GĐ3",'Hạng mục công việc'!$D$8:$D$78)</f>
        <v>106.5</v>
      </c>
      <c r="E6" s="43" t="n">
        <f aca="false">'Đơn giá &amp; giả định'!$B$8</f>
        <v>40</v>
      </c>
      <c r="F6" s="44" t="n">
        <f aca="false">ROUNDUP(D6/E6,0)</f>
        <v>3</v>
      </c>
      <c r="G6" s="41" t="n">
        <v>2</v>
      </c>
      <c r="H6" s="45" t="n">
        <f aca="false">F6+G6</f>
        <v>5</v>
      </c>
    </row>
    <row r="7" customFormat="false" ht="15" hidden="false" customHeight="true" outlineLevel="0" collapsed="false">
      <c r="A7" s="18" t="s">
        <v>227</v>
      </c>
      <c r="B7" s="18"/>
      <c r="C7" s="18"/>
      <c r="D7" s="18"/>
      <c r="E7" s="18"/>
      <c r="F7" s="18"/>
      <c r="G7" s="18"/>
      <c r="H7" s="45" t="n">
        <f aca="false">SUM(H4:H6)</f>
        <v>26</v>
      </c>
    </row>
    <row r="9" customFormat="false" ht="15" hidden="false" customHeight="true" outlineLevel="0" collapsed="false">
      <c r="A9" s="46" t="s">
        <v>228</v>
      </c>
      <c r="B9" s="46"/>
      <c r="C9" s="46"/>
      <c r="D9" s="46"/>
      <c r="E9" s="46"/>
      <c r="F9" s="46"/>
      <c r="G9" s="46"/>
      <c r="H9" s="46"/>
    </row>
    <row r="10" customFormat="false" ht="15" hidden="false" customHeight="false" outlineLevel="0" collapsed="false">
      <c r="A10" s="46"/>
      <c r="B10" s="46"/>
      <c r="C10" s="46"/>
      <c r="D10" s="46"/>
      <c r="E10" s="46"/>
      <c r="F10" s="46"/>
      <c r="G10" s="46"/>
      <c r="H10" s="46"/>
    </row>
    <row r="11" customFormat="false" ht="15" hidden="false" customHeight="false" outlineLevel="0" collapsed="false">
      <c r="A11" s="46"/>
      <c r="B11" s="46"/>
      <c r="C11" s="46"/>
      <c r="D11" s="46"/>
      <c r="E11" s="46"/>
      <c r="F11" s="46"/>
      <c r="G11" s="46"/>
      <c r="H11" s="46"/>
    </row>
  </sheetData>
  <mergeCells count="3">
    <mergeCell ref="A1:H1"/>
    <mergeCell ref="A7:G7"/>
    <mergeCell ref="A9:H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8"/>
    <col collapsed="false" customWidth="true" hidden="false" outlineLevel="0" max="5" min="4" style="0" width="20"/>
    <col collapsed="false" customWidth="true" hidden="false" outlineLevel="0" max="6" min="6" style="0" width="16"/>
    <col collapsed="false" customWidth="true" hidden="false" outlineLevel="0" max="7" min="7" style="0" width="20"/>
    <col collapsed="false" customWidth="true" hidden="false" outlineLevel="0" max="8" min="8" style="0" width="18"/>
    <col collapsed="false" customWidth="true" hidden="false" outlineLevel="0" max="9" min="9" style="0" width="20"/>
  </cols>
  <sheetData>
    <row r="1" customFormat="false" ht="30" hidden="false" customHeight="true" outlineLevel="0" collapsed="false">
      <c r="A1" s="1" t="s">
        <v>229</v>
      </c>
      <c r="B1" s="1"/>
      <c r="C1" s="1"/>
      <c r="D1" s="1"/>
      <c r="E1" s="1"/>
      <c r="F1" s="1"/>
      <c r="G1" s="1"/>
      <c r="H1" s="1"/>
      <c r="I1" s="1"/>
    </row>
    <row r="3" customFormat="false" ht="31.5" hidden="false" customHeight="true" outlineLevel="0" collapsed="false">
      <c r="A3" s="12" t="s">
        <v>33</v>
      </c>
      <c r="B3" s="12" t="s">
        <v>34</v>
      </c>
      <c r="C3" s="12" t="s">
        <v>230</v>
      </c>
      <c r="D3" s="12" t="s">
        <v>231</v>
      </c>
      <c r="E3" s="12" t="s">
        <v>37</v>
      </c>
    </row>
    <row r="4" customFormat="false" ht="15" hidden="false" customHeight="false" outlineLevel="0" collapsed="false">
      <c r="A4" s="13" t="s">
        <v>232</v>
      </c>
      <c r="B4" s="14" t="n">
        <f aca="false">SUMIF('Hạng mục công việc'!$E$8:$E$78,"GĐ1",'Hạng mục công việc'!$D$8:$D$78)</f>
        <v>384</v>
      </c>
      <c r="C4" s="16" t="n">
        <f aca="false">'Đơn giá &amp; giả định'!B4</f>
        <v>2500000</v>
      </c>
      <c r="D4" s="16" t="n">
        <f aca="false">B4*C4</f>
        <v>960000000</v>
      </c>
      <c r="E4" s="13" t="s">
        <v>233</v>
      </c>
    </row>
    <row r="5" customFormat="false" ht="15" hidden="false" customHeight="false" outlineLevel="0" collapsed="false">
      <c r="A5" s="13" t="s">
        <v>234</v>
      </c>
      <c r="B5" s="14" t="n">
        <f aca="false">SUMIF('Hạng mục công việc'!$E$8:$E$78,"GĐ2",'Hạng mục công việc'!$D$8:$D$78)</f>
        <v>270.5</v>
      </c>
      <c r="C5" s="16" t="n">
        <f aca="false">'Đơn giá &amp; giả định'!B4</f>
        <v>2500000</v>
      </c>
      <c r="D5" s="16" t="n">
        <f aca="false">B5*C5</f>
        <v>676250000</v>
      </c>
      <c r="E5" s="13" t="s">
        <v>235</v>
      </c>
    </row>
    <row r="6" customFormat="false" ht="15" hidden="false" customHeight="false" outlineLevel="0" collapsed="false">
      <c r="A6" s="13" t="s">
        <v>236</v>
      </c>
      <c r="B6" s="14" t="n">
        <f aca="false">SUMIF('Hạng mục công việc'!$E$8:$E$78,"GĐ3",'Hạng mục công việc'!$D$8:$D$78)</f>
        <v>106.5</v>
      </c>
      <c r="C6" s="16" t="n">
        <f aca="false">'Đơn giá &amp; giả định'!B4</f>
        <v>2500000</v>
      </c>
      <c r="D6" s="16" t="n">
        <f aca="false">B6*C6</f>
        <v>266250000</v>
      </c>
      <c r="E6" s="13" t="s">
        <v>237</v>
      </c>
    </row>
    <row r="7" customFormat="false" ht="15" hidden="false" customHeight="false" outlineLevel="0" collapsed="false">
      <c r="A7" s="13" t="s">
        <v>238</v>
      </c>
      <c r="B7" s="14" t="n">
        <f aca="false">SUMIF('Hạng mục công việc'!$E$8:$E$78,"Bảo hành",'Hạng mục công việc'!$D$8:$D$78)</f>
        <v>39</v>
      </c>
      <c r="C7" s="16" t="n">
        <f aca="false">'Đơn giá &amp; giả định'!B5</f>
        <v>2800000</v>
      </c>
      <c r="D7" s="16" t="n">
        <f aca="false">B7*C7</f>
        <v>109200000</v>
      </c>
      <c r="E7" s="13" t="s">
        <v>239</v>
      </c>
    </row>
    <row r="8" customFormat="false" ht="23.85" hidden="false" customHeight="false" outlineLevel="0" collapsed="false">
      <c r="A8" s="13" t="s">
        <v>59</v>
      </c>
      <c r="B8" s="14" t="n">
        <f aca="false">(SUMIF('Hạng mục công việc'!$E$8:$E$78,"GĐ1",'Hạng mục công việc'!$D$8:$D$78)+SUMIF('Hạng mục công việc'!$E$8:$E$78,"GĐ2",'Hạng mục công việc'!$D$8:$D$78)+SUMIF('Hạng mục công việc'!$E$8:$E$78,"GĐ3",'Hạng mục công việc'!$D$8:$D$78))*'Đơn giá &amp; giả định'!B7</f>
        <v>266.35</v>
      </c>
      <c r="C8" s="16" t="n">
        <f aca="false">'Đơn giá &amp; giả định'!B6</f>
        <v>3100000</v>
      </c>
      <c r="D8" s="16" t="n">
        <f aca="false">B8*C8</f>
        <v>825685000</v>
      </c>
      <c r="E8" s="13" t="s">
        <v>240</v>
      </c>
    </row>
    <row r="9" customFormat="false" ht="23.85" hidden="false" customHeight="false" outlineLevel="0" collapsed="false">
      <c r="A9" s="13" t="s">
        <v>241</v>
      </c>
      <c r="B9" s="47" t="s">
        <v>87</v>
      </c>
      <c r="C9" s="47" t="s">
        <v>87</v>
      </c>
      <c r="D9" s="16" t="n">
        <f aca="false">'Hạ tầng 12 tháng'!$F$11</f>
        <v>2349000000</v>
      </c>
      <c r="E9" s="13" t="s">
        <v>242</v>
      </c>
    </row>
    <row r="10" customFormat="false" ht="15" hidden="false" customHeight="false" outlineLevel="0" collapsed="false">
      <c r="A10" s="13" t="s">
        <v>243</v>
      </c>
      <c r="B10" s="47" t="s">
        <v>87</v>
      </c>
      <c r="C10" s="47" t="s">
        <v>87</v>
      </c>
      <c r="D10" s="16" t="n">
        <f aca="false">'Chi phí một lần'!$E$6</f>
        <v>255000000</v>
      </c>
      <c r="E10" s="13" t="s">
        <v>244</v>
      </c>
    </row>
    <row r="11" customFormat="false" ht="15" hidden="false" customHeight="false" outlineLevel="0" collapsed="false">
      <c r="A11" s="21" t="s">
        <v>245</v>
      </c>
      <c r="B11" s="39"/>
      <c r="C11" s="39"/>
      <c r="D11" s="19" t="n">
        <f aca="false">SUM(D4:D8)</f>
        <v>2837385000</v>
      </c>
      <c r="E11" s="39"/>
    </row>
    <row r="12" customFormat="false" ht="15" hidden="false" customHeight="false" outlineLevel="0" collapsed="false">
      <c r="A12" s="26" t="s">
        <v>66</v>
      </c>
      <c r="B12" s="26"/>
      <c r="C12" s="26"/>
      <c r="D12" s="15" t="n">
        <f aca="false">D11*'Đơn giá &amp; giả định'!B9</f>
        <v>283738500</v>
      </c>
      <c r="E12" s="26"/>
    </row>
    <row r="13" customFormat="false" ht="15" hidden="false" customHeight="false" outlineLevel="0" collapsed="false">
      <c r="A13" s="21" t="s">
        <v>246</v>
      </c>
      <c r="B13" s="39"/>
      <c r="C13" s="39"/>
      <c r="D13" s="19" t="n">
        <f aca="false">D11+D12</f>
        <v>3121123500</v>
      </c>
      <c r="E13" s="39"/>
    </row>
    <row r="14" customFormat="false" ht="15" hidden="false" customHeight="false" outlineLevel="0" collapsed="false">
      <c r="A14" s="21" t="s">
        <v>247</v>
      </c>
      <c r="B14" s="39"/>
      <c r="C14" s="39"/>
      <c r="D14" s="19" t="n">
        <f aca="false">D11+D9+D10</f>
        <v>5441385000</v>
      </c>
      <c r="E14" s="39"/>
    </row>
    <row r="15" customFormat="false" ht="15" hidden="false" customHeight="false" outlineLevel="0" collapsed="false">
      <c r="A15" s="26" t="s">
        <v>66</v>
      </c>
      <c r="B15" s="26"/>
      <c r="C15" s="26"/>
      <c r="D15" s="15" t="n">
        <f aca="false">D14*'Đơn giá &amp; giả định'!B9</f>
        <v>544138500</v>
      </c>
      <c r="E15" s="26"/>
    </row>
    <row r="16" customFormat="false" ht="15" hidden="false" customHeight="false" outlineLevel="0" collapsed="false">
      <c r="A16" s="48" t="s">
        <v>248</v>
      </c>
      <c r="B16" s="49"/>
      <c r="C16" s="49"/>
      <c r="D16" s="19" t="n">
        <f aca="false">D14+D15</f>
        <v>5985523500</v>
      </c>
      <c r="E16" s="49" t="s">
        <v>249</v>
      </c>
    </row>
    <row r="18" customFormat="false" ht="15" hidden="false" customHeight="false" outlineLevel="0" collapsed="false">
      <c r="A18" s="50" t="s">
        <v>250</v>
      </c>
    </row>
    <row r="19" customFormat="false" ht="31.5" hidden="false" customHeight="true" outlineLevel="0" collapsed="false">
      <c r="A19" s="12" t="s">
        <v>42</v>
      </c>
      <c r="B19" s="12" t="s">
        <v>43</v>
      </c>
      <c r="C19" s="12" t="s">
        <v>44</v>
      </c>
      <c r="D19" s="12" t="s">
        <v>30</v>
      </c>
      <c r="E19" s="12" t="s">
        <v>251</v>
      </c>
      <c r="F19" s="12" t="s">
        <v>114</v>
      </c>
      <c r="G19" s="12" t="s">
        <v>252</v>
      </c>
      <c r="H19" s="12" t="s">
        <v>66</v>
      </c>
      <c r="I19" s="12" t="s">
        <v>253</v>
      </c>
    </row>
    <row r="20" customFormat="false" ht="15" hidden="false" customHeight="false" outlineLevel="0" collapsed="false">
      <c r="A20" s="11" t="s">
        <v>24</v>
      </c>
      <c r="B20" s="15" t="n">
        <f aca="false">SUMIF('Hạng mục công việc'!$E$8:$E$78,"GĐ1",'Hạng mục công việc'!$D$8:$D$78)*'Đơn giá &amp; giả định'!$B$4</f>
        <v>960000000</v>
      </c>
      <c r="C20" s="15" t="n">
        <f aca="false">$D$8*SUMIF('Hạng mục công việc'!$E$8:$E$78,"GĐ1",'Hạng mục công việc'!$D$8:$D$78)/(SUMIF('Hạng mục công việc'!$E$8:$E$78,"GĐ1",'Hạng mục công việc'!$D$8:$D$78)+SUMIF('Hạng mục công việc'!$E$8:$E$78,"GĐ2",'Hạng mục công việc'!$D$8:$D$78)+SUMIF('Hạng mục công việc'!$E$8:$E$78,"GĐ3",'Hạng mục công việc'!$D$8:$D$78))</f>
        <v>416640000</v>
      </c>
      <c r="D20" s="15" t="n">
        <f aca="false">'Hạ tầng 12 tháng'!$C$13</f>
        <v>90000000</v>
      </c>
      <c r="E20" s="15" t="n">
        <f aca="false">'Chi phí một lần'!$E$6</f>
        <v>255000000</v>
      </c>
      <c r="F20" s="15" t="n">
        <v>0</v>
      </c>
      <c r="G20" s="15" t="n">
        <f aca="false">SUM(B20:F20)</f>
        <v>1721640000</v>
      </c>
      <c r="H20" s="16" t="n">
        <f aca="false">G20*'Đơn giá &amp; giả định'!$B$9</f>
        <v>172164000</v>
      </c>
      <c r="I20" s="16" t="n">
        <f aca="false">G20+H20</f>
        <v>1893804000</v>
      </c>
    </row>
    <row r="21" customFormat="false" ht="15" hidden="false" customHeight="false" outlineLevel="0" collapsed="false">
      <c r="A21" s="11" t="s">
        <v>26</v>
      </c>
      <c r="B21" s="15" t="n">
        <f aca="false">SUMIF('Hạng mục công việc'!$E$8:$E$78,"GĐ2",'Hạng mục công việc'!$D$8:$D$78)*'Đơn giá &amp; giả định'!$B$4</f>
        <v>676250000</v>
      </c>
      <c r="C21" s="15" t="n">
        <f aca="false">$D$8*SUMIF('Hạng mục công việc'!$E$8:$E$78,"GĐ2",'Hạng mục công việc'!$D$8:$D$78)/(SUMIF('Hạng mục công việc'!$E$8:$E$78,"GĐ1",'Hạng mục công việc'!$D$8:$D$78)+SUMIF('Hạng mục công việc'!$E$8:$E$78,"GĐ2",'Hạng mục công việc'!$D$8:$D$78)+SUMIF('Hạng mục công việc'!$E$8:$E$78,"GĐ3",'Hạng mục công việc'!$D$8:$D$78))</f>
        <v>293492500</v>
      </c>
      <c r="D21" s="15" t="n">
        <f aca="false">'Hạ tầng 12 tháng'!$D$13</f>
        <v>309000000</v>
      </c>
      <c r="E21" s="15" t="n">
        <v>0</v>
      </c>
      <c r="F21" s="15" t="n">
        <v>0</v>
      </c>
      <c r="G21" s="15" t="n">
        <f aca="false">SUM(B21:F21)</f>
        <v>1278742500</v>
      </c>
      <c r="H21" s="16" t="n">
        <f aca="false">G21*'Đơn giá &amp; giả định'!$B$9</f>
        <v>127874250</v>
      </c>
      <c r="I21" s="16" t="n">
        <f aca="false">G21+H21</f>
        <v>1406616750</v>
      </c>
    </row>
    <row r="22" customFormat="false" ht="15" hidden="false" customHeight="false" outlineLevel="0" collapsed="false">
      <c r="A22" s="11" t="s">
        <v>28</v>
      </c>
      <c r="B22" s="15" t="n">
        <f aca="false">SUMIF('Hạng mục công việc'!$E$8:$E$78,"GĐ3",'Hạng mục công việc'!$D$8:$D$78)*'Đơn giá &amp; giả định'!$B$4</f>
        <v>266250000</v>
      </c>
      <c r="C22" s="15" t="n">
        <f aca="false">$D$8*SUMIF('Hạng mục công việc'!$E$8:$E$78,"GĐ3",'Hạng mục công việc'!$D$8:$D$78)/(SUMIF('Hạng mục công việc'!$E$8:$E$78,"GĐ1",'Hạng mục công việc'!$D$8:$D$78)+SUMIF('Hạng mục công việc'!$E$8:$E$78,"GĐ2",'Hạng mục công việc'!$D$8:$D$78)+SUMIF('Hạng mục công việc'!$E$8:$E$78,"GĐ3",'Hạng mục công việc'!$D$8:$D$78))</f>
        <v>115552500</v>
      </c>
      <c r="D22" s="15" t="n">
        <f aca="false">'Hạ tầng 12 tháng'!$E$13</f>
        <v>1950000000</v>
      </c>
      <c r="E22" s="15" t="n">
        <v>0</v>
      </c>
      <c r="F22" s="15" t="n">
        <v>0</v>
      </c>
      <c r="G22" s="15" t="n">
        <f aca="false">SUM(B22:F22)</f>
        <v>2331802500</v>
      </c>
      <c r="H22" s="16" t="n">
        <f aca="false">G22*'Đơn giá &amp; giả định'!$B$9</f>
        <v>233180250</v>
      </c>
      <c r="I22" s="16" t="n">
        <f aca="false">G22+H22</f>
        <v>2564982750</v>
      </c>
    </row>
    <row r="23" customFormat="false" ht="15" hidden="false" customHeight="false" outlineLevel="0" collapsed="false">
      <c r="A23" s="51" t="s">
        <v>238</v>
      </c>
      <c r="B23" s="15" t="n">
        <v>0</v>
      </c>
      <c r="C23" s="15" t="n">
        <v>0</v>
      </c>
      <c r="D23" s="15" t="n">
        <v>0</v>
      </c>
      <c r="E23" s="15" t="n">
        <v>0</v>
      </c>
      <c r="F23" s="15" t="n">
        <f aca="false">$D$7</f>
        <v>109200000</v>
      </c>
      <c r="G23" s="15" t="n">
        <f aca="false">SUM(B23:F23)</f>
        <v>109200000</v>
      </c>
      <c r="H23" s="16" t="n">
        <f aca="false">G23*'Đơn giá &amp; giả định'!$B$9</f>
        <v>10920000</v>
      </c>
      <c r="I23" s="16" t="n">
        <f aca="false">G23+H23</f>
        <v>120120000</v>
      </c>
    </row>
    <row r="24" customFormat="false" ht="15" hidden="false" customHeight="false" outlineLevel="0" collapsed="false">
      <c r="A24" s="21" t="s">
        <v>254</v>
      </c>
      <c r="B24" s="22" t="n">
        <f aca="false">SUM(B20:B23)</f>
        <v>1902500000</v>
      </c>
      <c r="C24" s="22" t="n">
        <f aca="false">SUM(C20:C23)</f>
        <v>825685000</v>
      </c>
      <c r="D24" s="22" t="n">
        <f aca="false">SUM(D20:D23)</f>
        <v>2349000000</v>
      </c>
      <c r="E24" s="22" t="n">
        <f aca="false">SUM(E20:E23)</f>
        <v>255000000</v>
      </c>
      <c r="F24" s="22" t="n">
        <f aca="false">SUM(F20:F23)</f>
        <v>109200000</v>
      </c>
      <c r="G24" s="22" t="n">
        <f aca="false">SUM(G20:G23)</f>
        <v>5441385000</v>
      </c>
      <c r="H24" s="22" t="n">
        <f aca="false">SUM(H20:H23)</f>
        <v>544138500</v>
      </c>
      <c r="I24" s="22" t="n">
        <f aca="false">SUM(I20:I23)</f>
        <v>5985523500</v>
      </c>
    </row>
    <row r="26" customFormat="false" ht="15" hidden="false" customHeight="true" outlineLevel="0" collapsed="false">
      <c r="A26" s="46" t="s">
        <v>255</v>
      </c>
      <c r="B26" s="46"/>
      <c r="C26" s="46"/>
      <c r="D26" s="46"/>
      <c r="E26" s="46"/>
      <c r="F26" s="46"/>
      <c r="G26" s="46"/>
      <c r="H26" s="46"/>
      <c r="I26" s="46"/>
    </row>
    <row r="27" customFormat="false" ht="15" hidden="false" customHeight="false" outlineLevel="0" collapsed="false">
      <c r="A27" s="46"/>
      <c r="B27" s="46"/>
      <c r="C27" s="46"/>
      <c r="D27" s="46"/>
      <c r="E27" s="46"/>
      <c r="F27" s="46"/>
      <c r="G27" s="46"/>
      <c r="H27" s="46"/>
      <c r="I27" s="46"/>
    </row>
    <row r="28" customFormat="false" ht="15" hidden="false" customHeight="false" outlineLevel="0" collapsed="false">
      <c r="A28" s="46"/>
      <c r="B28" s="46"/>
      <c r="C28" s="46"/>
      <c r="D28" s="46"/>
      <c r="E28" s="46"/>
      <c r="F28" s="46"/>
      <c r="G28" s="46"/>
      <c r="H28" s="46"/>
      <c r="I28" s="46"/>
    </row>
    <row r="29" customFormat="false" ht="15" hidden="false" customHeight="false" outlineLevel="0" collapsed="false">
      <c r="A29" s="46"/>
      <c r="B29" s="46"/>
      <c r="C29" s="46"/>
      <c r="D29" s="46"/>
      <c r="E29" s="46"/>
      <c r="F29" s="46"/>
      <c r="G29" s="46"/>
      <c r="H29" s="46"/>
      <c r="I29" s="46"/>
    </row>
    <row r="30" customFormat="false" ht="15" hidden="false" customHeight="false" outlineLevel="0" collapsed="false">
      <c r="A30" s="46"/>
      <c r="B30" s="46"/>
      <c r="C30" s="46"/>
      <c r="D30" s="46"/>
      <c r="E30" s="46"/>
      <c r="F30" s="46"/>
      <c r="G30" s="46"/>
      <c r="H30" s="46"/>
      <c r="I30" s="46"/>
    </row>
  </sheetData>
  <mergeCells count="2">
    <mergeCell ref="A1:I1"/>
    <mergeCell ref="A26:I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2026-10-30T01:17:29Z</dcterms:created>
  <dc:creator>Lê Chí Tuyền</dc:creator>
  <dc:description/>
  <dc:language>en-US</dc:language>
  <cp:lastModifiedBy/>
  <dcterms:modified xsi:type="dcterms:W3CDTF">2026-10-30T01:17:29Z</dcterms:modified>
  <cp:revision>0</cp:revision>
  <dc:subject/>
  <dc:title>Khái toán sơ bộ – Taxi Social Web3</dc:title>
</cp:coreProperties>
</file>

<file path=docProps/custom.xml><?xml version="1.0" encoding="utf-8"?>
<Properties xmlns="http://schemas.openxmlformats.org/officeDocument/2006/custom-properties" xmlns:vt="http://schemas.openxmlformats.org/officeDocument/2006/docPropsVTypes"/>
</file>